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https://seidor-my.sharepoint.com/personal/eflores7_seidor_es/Documents/Archivos de chat de Microsoft Teams/"/>
    </mc:Choice>
  </mc:AlternateContent>
  <xr:revisionPtr revIDLastSave="0" documentId="13_ncr:1_{7E5CD616-CB3C-42F0-B9F3-5495237AB5DC}" xr6:coauthVersionLast="47" xr6:coauthVersionMax="47" xr10:uidLastSave="{00000000-0000-0000-0000-000000000000}"/>
  <bookViews>
    <workbookView minimized="1" xWindow="1905" yWindow="1905" windowWidth="15375" windowHeight="7785" firstSheet="3" activeTab="3" xr2:uid="{00000000-000D-0000-FFFF-FFFF00000000}"/>
  </bookViews>
  <sheets>
    <sheet name="Uso de estimador" sheetId="8" r:id="rId1"/>
    <sheet name="Atributos" sheetId="5" state="hidden" r:id="rId2"/>
    <sheet name="S0" sheetId="1" state="hidden" r:id="rId3"/>
    <sheet name="Evaluar" sheetId="6" r:id="rId4"/>
    <sheet name="GAP" sheetId="9" r:id="rId5"/>
    <sheet name="Estimar" sheetId="11" r:id="rId6"/>
    <sheet name="Tiempos" sheetId="13" r:id="rId7"/>
    <sheet name="Hoja1" sheetId="12" state="hidden" r:id="rId8"/>
  </sheets>
  <definedNames>
    <definedName name="_xlnm._FilterDatabase" localSheetId="3" hidden="1">Evaluar!$A$7:$H$94</definedName>
    <definedName name="_xlnm._FilterDatabase" localSheetId="2" hidden="1">S0!$A$1:$N$89</definedName>
  </definedNames>
  <calcPr calcId="191028"/>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11" l="1"/>
  <c r="E40" i="11"/>
  <c r="E37" i="11"/>
  <c r="E34" i="11"/>
  <c r="E26" i="11"/>
  <c r="E23" i="11"/>
  <c r="E20" i="11"/>
  <c r="E11" i="11"/>
  <c r="D40" i="11"/>
  <c r="D37" i="11"/>
  <c r="D34" i="11"/>
  <c r="D26" i="11"/>
  <c r="D23" i="11"/>
  <c r="D20" i="11"/>
  <c r="D5" i="11"/>
  <c r="E5" i="11" s="1"/>
  <c r="D8" i="11"/>
  <c r="E8" i="11" s="1"/>
  <c r="D11" i="11"/>
  <c r="C43" i="11"/>
  <c r="B43" i="11"/>
  <c r="C29" i="11"/>
  <c r="B29" i="11"/>
  <c r="C14" i="11"/>
  <c r="B14" i="11"/>
  <c r="L5" i="6"/>
  <c r="L4" i="6"/>
  <c r="L3" i="6"/>
  <c r="B23" i="5"/>
  <c r="B24" i="5"/>
  <c r="B25" i="5"/>
  <c r="B22" i="5"/>
  <c r="I30" i="5"/>
  <c r="I29" i="5"/>
  <c r="R10" i="12"/>
  <c r="R12" i="12"/>
  <c r="L2" i="6" l="1"/>
  <c r="D39" i="11" s="1"/>
  <c r="E39" i="11" s="1"/>
  <c r="D36" i="11"/>
  <c r="E36" i="11" s="1"/>
  <c r="D35" i="11"/>
  <c r="E35" i="11" s="1"/>
  <c r="D33" i="11"/>
  <c r="D27" i="11"/>
  <c r="E27" i="11" s="1"/>
  <c r="D25" i="11"/>
  <c r="E25" i="11" s="1"/>
  <c r="D24" i="11"/>
  <c r="E24" i="11" s="1"/>
  <c r="D22" i="11"/>
  <c r="E22" i="11" s="1"/>
  <c r="D21" i="11"/>
  <c r="E21" i="11" s="1"/>
  <c r="D19" i="11"/>
  <c r="D6" i="11"/>
  <c r="E6" i="11" s="1"/>
  <c r="D10" i="11"/>
  <c r="E10" i="11" s="1"/>
  <c r="D12" i="11"/>
  <c r="E12" i="11" s="1"/>
  <c r="D4" i="11"/>
  <c r="L10" i="6"/>
  <c r="S11" i="6"/>
  <c r="S95" i="6"/>
  <c r="S9" i="6"/>
  <c r="S10"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T8" i="6"/>
  <c r="S8" i="6"/>
  <c r="W95" i="6"/>
  <c r="V95" i="6"/>
  <c r="U95" i="6"/>
  <c r="T95" i="6"/>
  <c r="W94" i="6"/>
  <c r="V94" i="6"/>
  <c r="U94" i="6"/>
  <c r="T94" i="6"/>
  <c r="W93" i="6"/>
  <c r="V93" i="6"/>
  <c r="U93" i="6"/>
  <c r="T93" i="6"/>
  <c r="W92" i="6"/>
  <c r="V92" i="6"/>
  <c r="U92" i="6"/>
  <c r="T92" i="6"/>
  <c r="W91" i="6"/>
  <c r="V91" i="6"/>
  <c r="U91" i="6"/>
  <c r="T91" i="6"/>
  <c r="W90" i="6"/>
  <c r="V90" i="6"/>
  <c r="U90" i="6"/>
  <c r="T90" i="6"/>
  <c r="W89" i="6"/>
  <c r="V89" i="6"/>
  <c r="U89" i="6"/>
  <c r="T89" i="6"/>
  <c r="W88" i="6"/>
  <c r="V88" i="6"/>
  <c r="U88" i="6"/>
  <c r="T88" i="6"/>
  <c r="W87" i="6"/>
  <c r="V87" i="6"/>
  <c r="U87" i="6"/>
  <c r="T87" i="6"/>
  <c r="W86" i="6"/>
  <c r="V86" i="6"/>
  <c r="U86" i="6"/>
  <c r="T86" i="6"/>
  <c r="W85" i="6"/>
  <c r="V85" i="6"/>
  <c r="U85" i="6"/>
  <c r="T85" i="6"/>
  <c r="W84" i="6"/>
  <c r="V84" i="6"/>
  <c r="U84" i="6"/>
  <c r="T84" i="6"/>
  <c r="W83" i="6"/>
  <c r="V83" i="6"/>
  <c r="U83" i="6"/>
  <c r="T83" i="6"/>
  <c r="W82" i="6"/>
  <c r="V82" i="6"/>
  <c r="U82" i="6"/>
  <c r="T82" i="6"/>
  <c r="W81" i="6"/>
  <c r="V81" i="6"/>
  <c r="U81" i="6"/>
  <c r="T81" i="6"/>
  <c r="W80" i="6"/>
  <c r="V80" i="6"/>
  <c r="U80" i="6"/>
  <c r="T80" i="6"/>
  <c r="W79" i="6"/>
  <c r="V79" i="6"/>
  <c r="U79" i="6"/>
  <c r="T79" i="6"/>
  <c r="W78" i="6"/>
  <c r="V78" i="6"/>
  <c r="U78" i="6"/>
  <c r="T78" i="6"/>
  <c r="W77" i="6"/>
  <c r="V77" i="6"/>
  <c r="U77" i="6"/>
  <c r="T77" i="6"/>
  <c r="W76" i="6"/>
  <c r="V76" i="6"/>
  <c r="U76" i="6"/>
  <c r="T76" i="6"/>
  <c r="W75" i="6"/>
  <c r="V75" i="6"/>
  <c r="U75" i="6"/>
  <c r="T75" i="6"/>
  <c r="W74" i="6"/>
  <c r="V74" i="6"/>
  <c r="U74" i="6"/>
  <c r="T74" i="6"/>
  <c r="W73" i="6"/>
  <c r="V73" i="6"/>
  <c r="U73" i="6"/>
  <c r="T73" i="6"/>
  <c r="W72" i="6"/>
  <c r="V72" i="6"/>
  <c r="U72" i="6"/>
  <c r="T72" i="6"/>
  <c r="W71" i="6"/>
  <c r="V71" i="6"/>
  <c r="U71" i="6"/>
  <c r="T71" i="6"/>
  <c r="W70" i="6"/>
  <c r="V70" i="6"/>
  <c r="U70" i="6"/>
  <c r="T70" i="6"/>
  <c r="W69" i="6"/>
  <c r="V69" i="6"/>
  <c r="U69" i="6"/>
  <c r="T69" i="6"/>
  <c r="W68" i="6"/>
  <c r="V68" i="6"/>
  <c r="U68" i="6"/>
  <c r="T68" i="6"/>
  <c r="W67" i="6"/>
  <c r="V67" i="6"/>
  <c r="U67" i="6"/>
  <c r="T67" i="6"/>
  <c r="W66" i="6"/>
  <c r="V66" i="6"/>
  <c r="U66" i="6"/>
  <c r="T66" i="6"/>
  <c r="W65" i="6"/>
  <c r="V65" i="6"/>
  <c r="U65" i="6"/>
  <c r="T65" i="6"/>
  <c r="W64" i="6"/>
  <c r="V64" i="6"/>
  <c r="U64" i="6"/>
  <c r="T64" i="6"/>
  <c r="W63" i="6"/>
  <c r="V63" i="6"/>
  <c r="U63" i="6"/>
  <c r="T63" i="6"/>
  <c r="W62" i="6"/>
  <c r="V62" i="6"/>
  <c r="U62" i="6"/>
  <c r="T62" i="6"/>
  <c r="W61" i="6"/>
  <c r="V61" i="6"/>
  <c r="U61" i="6"/>
  <c r="T61" i="6"/>
  <c r="W60" i="6"/>
  <c r="V60" i="6"/>
  <c r="U60" i="6"/>
  <c r="T60" i="6"/>
  <c r="W59" i="6"/>
  <c r="V59" i="6"/>
  <c r="U59" i="6"/>
  <c r="T59" i="6"/>
  <c r="W58" i="6"/>
  <c r="V58" i="6"/>
  <c r="U58" i="6"/>
  <c r="T58" i="6"/>
  <c r="W57" i="6"/>
  <c r="V57" i="6"/>
  <c r="U57" i="6"/>
  <c r="T57" i="6"/>
  <c r="W56" i="6"/>
  <c r="V56" i="6"/>
  <c r="U56" i="6"/>
  <c r="T56" i="6"/>
  <c r="W55" i="6"/>
  <c r="V55" i="6"/>
  <c r="U55" i="6"/>
  <c r="T55" i="6"/>
  <c r="W54" i="6"/>
  <c r="V54" i="6"/>
  <c r="U54" i="6"/>
  <c r="T54" i="6"/>
  <c r="W53" i="6"/>
  <c r="V53" i="6"/>
  <c r="U53" i="6"/>
  <c r="T53" i="6"/>
  <c r="W52" i="6"/>
  <c r="V52" i="6"/>
  <c r="U52" i="6"/>
  <c r="T52" i="6"/>
  <c r="W51" i="6"/>
  <c r="V51" i="6"/>
  <c r="U51" i="6"/>
  <c r="T51" i="6"/>
  <c r="W50" i="6"/>
  <c r="V50" i="6"/>
  <c r="U50" i="6"/>
  <c r="T50" i="6"/>
  <c r="W49" i="6"/>
  <c r="V49" i="6"/>
  <c r="U49" i="6"/>
  <c r="T49" i="6"/>
  <c r="W48" i="6"/>
  <c r="V48" i="6"/>
  <c r="U48" i="6"/>
  <c r="T48" i="6"/>
  <c r="W47" i="6"/>
  <c r="V47" i="6"/>
  <c r="U47" i="6"/>
  <c r="T47" i="6"/>
  <c r="W46" i="6"/>
  <c r="V46" i="6"/>
  <c r="U46" i="6"/>
  <c r="T46" i="6"/>
  <c r="W45" i="6"/>
  <c r="V45" i="6"/>
  <c r="U45" i="6"/>
  <c r="T45" i="6"/>
  <c r="W44" i="6"/>
  <c r="V44" i="6"/>
  <c r="U44" i="6"/>
  <c r="T44" i="6"/>
  <c r="W43" i="6"/>
  <c r="V43" i="6"/>
  <c r="U43" i="6"/>
  <c r="T43" i="6"/>
  <c r="W42" i="6"/>
  <c r="V42" i="6"/>
  <c r="U42" i="6"/>
  <c r="T42" i="6"/>
  <c r="W41" i="6"/>
  <c r="V41" i="6"/>
  <c r="U41" i="6"/>
  <c r="T41" i="6"/>
  <c r="W40" i="6"/>
  <c r="V40" i="6"/>
  <c r="U40" i="6"/>
  <c r="T40" i="6"/>
  <c r="W39" i="6"/>
  <c r="V39" i="6"/>
  <c r="U39" i="6"/>
  <c r="T39" i="6"/>
  <c r="W38" i="6"/>
  <c r="V38" i="6"/>
  <c r="U38" i="6"/>
  <c r="T38" i="6"/>
  <c r="W37" i="6"/>
  <c r="V37" i="6"/>
  <c r="U37" i="6"/>
  <c r="T37" i="6"/>
  <c r="W36" i="6"/>
  <c r="V36" i="6"/>
  <c r="U36" i="6"/>
  <c r="T36" i="6"/>
  <c r="W35" i="6"/>
  <c r="V35" i="6"/>
  <c r="U35" i="6"/>
  <c r="T35" i="6"/>
  <c r="W34" i="6"/>
  <c r="V34" i="6"/>
  <c r="U34" i="6"/>
  <c r="T34" i="6"/>
  <c r="W33" i="6"/>
  <c r="V33" i="6"/>
  <c r="U33" i="6"/>
  <c r="T33" i="6"/>
  <c r="W32" i="6"/>
  <c r="V32" i="6"/>
  <c r="U32" i="6"/>
  <c r="T32" i="6"/>
  <c r="W31" i="6"/>
  <c r="V31" i="6"/>
  <c r="U31" i="6"/>
  <c r="T31" i="6"/>
  <c r="W30" i="6"/>
  <c r="V30" i="6"/>
  <c r="U30" i="6"/>
  <c r="T30" i="6"/>
  <c r="W29" i="6"/>
  <c r="V29" i="6"/>
  <c r="U29" i="6"/>
  <c r="T29" i="6"/>
  <c r="W28" i="6"/>
  <c r="V28" i="6"/>
  <c r="U28" i="6"/>
  <c r="T28" i="6"/>
  <c r="W27" i="6"/>
  <c r="V27" i="6"/>
  <c r="U27" i="6"/>
  <c r="T27" i="6"/>
  <c r="W26" i="6"/>
  <c r="V26" i="6"/>
  <c r="U26" i="6"/>
  <c r="T26" i="6"/>
  <c r="W25" i="6"/>
  <c r="V25" i="6"/>
  <c r="U25" i="6"/>
  <c r="T25" i="6"/>
  <c r="W24" i="6"/>
  <c r="V24" i="6"/>
  <c r="U24" i="6"/>
  <c r="T24" i="6"/>
  <c r="W23" i="6"/>
  <c r="V23" i="6"/>
  <c r="U23" i="6"/>
  <c r="T23" i="6"/>
  <c r="W22" i="6"/>
  <c r="V22" i="6"/>
  <c r="U22" i="6"/>
  <c r="T22" i="6"/>
  <c r="W21" i="6"/>
  <c r="V21" i="6"/>
  <c r="U21" i="6"/>
  <c r="T21" i="6"/>
  <c r="W20" i="6"/>
  <c r="V20" i="6"/>
  <c r="U20" i="6"/>
  <c r="T20" i="6"/>
  <c r="W19" i="6"/>
  <c r="V19" i="6"/>
  <c r="U19" i="6"/>
  <c r="T19" i="6"/>
  <c r="W18" i="6"/>
  <c r="V18" i="6"/>
  <c r="U18" i="6"/>
  <c r="T18" i="6"/>
  <c r="W17" i="6"/>
  <c r="V17" i="6"/>
  <c r="U17" i="6"/>
  <c r="T17" i="6"/>
  <c r="W16" i="6"/>
  <c r="V16" i="6"/>
  <c r="U16" i="6"/>
  <c r="T16" i="6"/>
  <c r="W15" i="6"/>
  <c r="V15" i="6"/>
  <c r="U15" i="6"/>
  <c r="T15" i="6"/>
  <c r="W14" i="6"/>
  <c r="V14" i="6"/>
  <c r="U14" i="6"/>
  <c r="T14" i="6"/>
  <c r="W13" i="6"/>
  <c r="V13" i="6"/>
  <c r="U13" i="6"/>
  <c r="T13" i="6"/>
  <c r="W12" i="6"/>
  <c r="V12" i="6"/>
  <c r="U12" i="6"/>
  <c r="T12" i="6"/>
  <c r="W11" i="6"/>
  <c r="V11" i="6"/>
  <c r="U11" i="6"/>
  <c r="T11" i="6"/>
  <c r="W10" i="6"/>
  <c r="V10" i="6"/>
  <c r="U10" i="6"/>
  <c r="T10" i="6"/>
  <c r="W9" i="6"/>
  <c r="V9" i="6"/>
  <c r="U9" i="6"/>
  <c r="T9" i="6"/>
  <c r="W8" i="6"/>
  <c r="V8" i="6"/>
  <c r="U8" i="6"/>
  <c r="G2" i="6"/>
  <c r="B94" i="6"/>
  <c r="E94" i="6"/>
  <c r="F94" i="6"/>
  <c r="G94" i="6"/>
  <c r="H94" i="6"/>
  <c r="T88" i="1"/>
  <c r="L94" i="6" s="1"/>
  <c r="U88" i="1"/>
  <c r="M94" i="6" s="1"/>
  <c r="W88" i="1"/>
  <c r="O94" i="6" s="1"/>
  <c r="X88" i="1"/>
  <c r="P94" i="6" s="1"/>
  <c r="Y88" i="1"/>
  <c r="Q94" i="6" s="1"/>
  <c r="B8" i="6"/>
  <c r="B95"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F8" i="6"/>
  <c r="H8" i="6"/>
  <c r="H95" i="6"/>
  <c r="G95" i="6"/>
  <c r="F95" i="6"/>
  <c r="E95" i="6"/>
  <c r="H93" i="6"/>
  <c r="G93" i="6"/>
  <c r="F93" i="6"/>
  <c r="E93" i="6"/>
  <c r="H92" i="6"/>
  <c r="G92" i="6"/>
  <c r="F92" i="6"/>
  <c r="E92" i="6"/>
  <c r="H91" i="6"/>
  <c r="G91" i="6"/>
  <c r="F91" i="6"/>
  <c r="E91" i="6"/>
  <c r="H90" i="6"/>
  <c r="G90" i="6"/>
  <c r="F90" i="6"/>
  <c r="E90" i="6"/>
  <c r="H89" i="6"/>
  <c r="G89" i="6"/>
  <c r="F89" i="6"/>
  <c r="E89" i="6"/>
  <c r="H88" i="6"/>
  <c r="G88" i="6"/>
  <c r="F88" i="6"/>
  <c r="E88" i="6"/>
  <c r="H87" i="6"/>
  <c r="G87" i="6"/>
  <c r="F87" i="6"/>
  <c r="E87" i="6"/>
  <c r="H86" i="6"/>
  <c r="G86" i="6"/>
  <c r="F86" i="6"/>
  <c r="E86" i="6"/>
  <c r="H85" i="6"/>
  <c r="G85" i="6"/>
  <c r="F85" i="6"/>
  <c r="E85" i="6"/>
  <c r="H84" i="6"/>
  <c r="G84" i="6"/>
  <c r="F84" i="6"/>
  <c r="E84" i="6"/>
  <c r="H83" i="6"/>
  <c r="G83" i="6"/>
  <c r="F83" i="6"/>
  <c r="E83" i="6"/>
  <c r="H82" i="6"/>
  <c r="G82" i="6"/>
  <c r="F82" i="6"/>
  <c r="E82" i="6"/>
  <c r="H81" i="6"/>
  <c r="G81" i="6"/>
  <c r="F81" i="6"/>
  <c r="E81" i="6"/>
  <c r="H80" i="6"/>
  <c r="G80" i="6"/>
  <c r="F80" i="6"/>
  <c r="E80" i="6"/>
  <c r="H79" i="6"/>
  <c r="G79" i="6"/>
  <c r="F79" i="6"/>
  <c r="E79" i="6"/>
  <c r="H78" i="6"/>
  <c r="G78" i="6"/>
  <c r="F78" i="6"/>
  <c r="E78" i="6"/>
  <c r="H77" i="6"/>
  <c r="G77" i="6"/>
  <c r="F77" i="6"/>
  <c r="E77" i="6"/>
  <c r="H76" i="6"/>
  <c r="G76" i="6"/>
  <c r="F76" i="6"/>
  <c r="E76" i="6"/>
  <c r="H75" i="6"/>
  <c r="G75" i="6"/>
  <c r="F75" i="6"/>
  <c r="E75" i="6"/>
  <c r="H74" i="6"/>
  <c r="G74" i="6"/>
  <c r="F74" i="6"/>
  <c r="E74" i="6"/>
  <c r="H73" i="6"/>
  <c r="G73" i="6"/>
  <c r="F73" i="6"/>
  <c r="E73" i="6"/>
  <c r="H72" i="6"/>
  <c r="G72" i="6"/>
  <c r="F72" i="6"/>
  <c r="E72" i="6"/>
  <c r="H71" i="6"/>
  <c r="G71" i="6"/>
  <c r="F71" i="6"/>
  <c r="E71" i="6"/>
  <c r="H70" i="6"/>
  <c r="G70" i="6"/>
  <c r="F70" i="6"/>
  <c r="E70" i="6"/>
  <c r="H69" i="6"/>
  <c r="G69" i="6"/>
  <c r="F69" i="6"/>
  <c r="E69" i="6"/>
  <c r="H68" i="6"/>
  <c r="G68" i="6"/>
  <c r="F68" i="6"/>
  <c r="E68" i="6"/>
  <c r="H67" i="6"/>
  <c r="G67" i="6"/>
  <c r="F67" i="6"/>
  <c r="E67" i="6"/>
  <c r="H66" i="6"/>
  <c r="G66" i="6"/>
  <c r="F66" i="6"/>
  <c r="E66" i="6"/>
  <c r="H65" i="6"/>
  <c r="G65" i="6"/>
  <c r="F65" i="6"/>
  <c r="E65" i="6"/>
  <c r="H64" i="6"/>
  <c r="G64" i="6"/>
  <c r="F64" i="6"/>
  <c r="E64" i="6"/>
  <c r="H63" i="6"/>
  <c r="G63" i="6"/>
  <c r="F63" i="6"/>
  <c r="E63" i="6"/>
  <c r="H62" i="6"/>
  <c r="G62" i="6"/>
  <c r="F62" i="6"/>
  <c r="E62" i="6"/>
  <c r="H61" i="6"/>
  <c r="G61" i="6"/>
  <c r="F61" i="6"/>
  <c r="E61" i="6"/>
  <c r="H60" i="6"/>
  <c r="G60" i="6"/>
  <c r="F60" i="6"/>
  <c r="E60" i="6"/>
  <c r="H59" i="6"/>
  <c r="G59" i="6"/>
  <c r="F59" i="6"/>
  <c r="E59" i="6"/>
  <c r="H58" i="6"/>
  <c r="G58" i="6"/>
  <c r="F58" i="6"/>
  <c r="E58" i="6"/>
  <c r="H57" i="6"/>
  <c r="G57" i="6"/>
  <c r="F57" i="6"/>
  <c r="E57" i="6"/>
  <c r="H56" i="6"/>
  <c r="G56" i="6"/>
  <c r="F56" i="6"/>
  <c r="E56" i="6"/>
  <c r="H55" i="6"/>
  <c r="G55" i="6"/>
  <c r="F55" i="6"/>
  <c r="E55" i="6"/>
  <c r="H54" i="6"/>
  <c r="G54" i="6"/>
  <c r="F54" i="6"/>
  <c r="E54" i="6"/>
  <c r="H53" i="6"/>
  <c r="G53" i="6"/>
  <c r="F53" i="6"/>
  <c r="E53" i="6"/>
  <c r="H52" i="6"/>
  <c r="G52" i="6"/>
  <c r="F52" i="6"/>
  <c r="E52" i="6"/>
  <c r="H51" i="6"/>
  <c r="G51" i="6"/>
  <c r="F51" i="6"/>
  <c r="E51" i="6"/>
  <c r="H50" i="6"/>
  <c r="G50" i="6"/>
  <c r="F50" i="6"/>
  <c r="E50" i="6"/>
  <c r="H49" i="6"/>
  <c r="G49" i="6"/>
  <c r="F49" i="6"/>
  <c r="E49" i="6"/>
  <c r="H48" i="6"/>
  <c r="G48" i="6"/>
  <c r="F48" i="6"/>
  <c r="E48" i="6"/>
  <c r="H47" i="6"/>
  <c r="G47" i="6"/>
  <c r="F47" i="6"/>
  <c r="E47" i="6"/>
  <c r="H46" i="6"/>
  <c r="G46" i="6"/>
  <c r="F46" i="6"/>
  <c r="E46" i="6"/>
  <c r="H45" i="6"/>
  <c r="G45" i="6"/>
  <c r="F45" i="6"/>
  <c r="E45" i="6"/>
  <c r="H44" i="6"/>
  <c r="G44" i="6"/>
  <c r="F44" i="6"/>
  <c r="E44" i="6"/>
  <c r="H43" i="6"/>
  <c r="G43" i="6"/>
  <c r="F43" i="6"/>
  <c r="E43" i="6"/>
  <c r="H42" i="6"/>
  <c r="G42" i="6"/>
  <c r="F42" i="6"/>
  <c r="E42" i="6"/>
  <c r="H41" i="6"/>
  <c r="G41" i="6"/>
  <c r="F41" i="6"/>
  <c r="E41" i="6"/>
  <c r="H40" i="6"/>
  <c r="G40" i="6"/>
  <c r="F40" i="6"/>
  <c r="E40" i="6"/>
  <c r="H39" i="6"/>
  <c r="G39" i="6"/>
  <c r="F39" i="6"/>
  <c r="E39" i="6"/>
  <c r="H38" i="6"/>
  <c r="G38" i="6"/>
  <c r="F38" i="6"/>
  <c r="E38" i="6"/>
  <c r="H37" i="6"/>
  <c r="G37" i="6"/>
  <c r="F37" i="6"/>
  <c r="E37" i="6"/>
  <c r="H36" i="6"/>
  <c r="G36" i="6"/>
  <c r="F36" i="6"/>
  <c r="E36" i="6"/>
  <c r="H35" i="6"/>
  <c r="G35" i="6"/>
  <c r="F35" i="6"/>
  <c r="E35" i="6"/>
  <c r="H34" i="6"/>
  <c r="G34" i="6"/>
  <c r="F34" i="6"/>
  <c r="E34" i="6"/>
  <c r="H33" i="6"/>
  <c r="G33" i="6"/>
  <c r="F33" i="6"/>
  <c r="E33" i="6"/>
  <c r="H32" i="6"/>
  <c r="G32" i="6"/>
  <c r="F32" i="6"/>
  <c r="E32" i="6"/>
  <c r="H31" i="6"/>
  <c r="G31" i="6"/>
  <c r="F31" i="6"/>
  <c r="E31" i="6"/>
  <c r="H30" i="6"/>
  <c r="G30" i="6"/>
  <c r="F30" i="6"/>
  <c r="E30" i="6"/>
  <c r="H29" i="6"/>
  <c r="G29" i="6"/>
  <c r="F29" i="6"/>
  <c r="E29" i="6"/>
  <c r="H28" i="6"/>
  <c r="G28" i="6"/>
  <c r="F28" i="6"/>
  <c r="E28" i="6"/>
  <c r="H27" i="6"/>
  <c r="G27" i="6"/>
  <c r="F27" i="6"/>
  <c r="E27" i="6"/>
  <c r="H26" i="6"/>
  <c r="G26" i="6"/>
  <c r="F26" i="6"/>
  <c r="E26" i="6"/>
  <c r="H25" i="6"/>
  <c r="G25" i="6"/>
  <c r="F25" i="6"/>
  <c r="E25" i="6"/>
  <c r="H24" i="6"/>
  <c r="G24" i="6"/>
  <c r="F24" i="6"/>
  <c r="E24" i="6"/>
  <c r="H23" i="6"/>
  <c r="G23" i="6"/>
  <c r="F23" i="6"/>
  <c r="E23" i="6"/>
  <c r="H22" i="6"/>
  <c r="G22" i="6"/>
  <c r="F22" i="6"/>
  <c r="E22" i="6"/>
  <c r="H21" i="6"/>
  <c r="G21" i="6"/>
  <c r="F21" i="6"/>
  <c r="E21" i="6"/>
  <c r="H20" i="6"/>
  <c r="G20" i="6"/>
  <c r="F20" i="6"/>
  <c r="E20" i="6"/>
  <c r="H19" i="6"/>
  <c r="G19" i="6"/>
  <c r="F19" i="6"/>
  <c r="E19" i="6"/>
  <c r="H18" i="6"/>
  <c r="G18" i="6"/>
  <c r="F18" i="6"/>
  <c r="E18" i="6"/>
  <c r="H17" i="6"/>
  <c r="G17" i="6"/>
  <c r="F17" i="6"/>
  <c r="E17" i="6"/>
  <c r="H16" i="6"/>
  <c r="G16" i="6"/>
  <c r="F16" i="6"/>
  <c r="E16" i="6"/>
  <c r="H15" i="6"/>
  <c r="G15" i="6"/>
  <c r="F15" i="6"/>
  <c r="E15" i="6"/>
  <c r="H14" i="6"/>
  <c r="G14" i="6"/>
  <c r="F14" i="6"/>
  <c r="E14" i="6"/>
  <c r="H13" i="6"/>
  <c r="G13" i="6"/>
  <c r="F13" i="6"/>
  <c r="E13" i="6"/>
  <c r="H12" i="6"/>
  <c r="G12" i="6"/>
  <c r="F12" i="6"/>
  <c r="E12" i="6"/>
  <c r="H11" i="6"/>
  <c r="G11" i="6"/>
  <c r="F11" i="6"/>
  <c r="E11" i="6"/>
  <c r="H10" i="6"/>
  <c r="G10" i="6"/>
  <c r="F10" i="6"/>
  <c r="E10" i="6"/>
  <c r="H9" i="6"/>
  <c r="G9" i="6"/>
  <c r="F9" i="6"/>
  <c r="E9" i="6"/>
  <c r="B37" i="6"/>
  <c r="E8" i="6"/>
  <c r="I4" i="6"/>
  <c r="I3" i="6"/>
  <c r="I2" i="6"/>
  <c r="G4" i="6"/>
  <c r="G3" i="6"/>
  <c r="I5" i="6"/>
  <c r="G5" i="6"/>
  <c r="T29" i="1"/>
  <c r="L35" i="6" s="1"/>
  <c r="T30" i="1"/>
  <c r="T31" i="1"/>
  <c r="L37" i="6" s="1"/>
  <c r="T32" i="1"/>
  <c r="L38" i="6" s="1"/>
  <c r="T33" i="1"/>
  <c r="L39" i="6" s="1"/>
  <c r="T34" i="1"/>
  <c r="L40" i="6" s="1"/>
  <c r="T35" i="1"/>
  <c r="L41" i="6" s="1"/>
  <c r="T36" i="1"/>
  <c r="L42" i="6" s="1"/>
  <c r="T37" i="1"/>
  <c r="L43" i="6" s="1"/>
  <c r="T38" i="1"/>
  <c r="L44" i="6" s="1"/>
  <c r="T10" i="1"/>
  <c r="L16" i="6" s="1"/>
  <c r="T11" i="1"/>
  <c r="L17" i="6" s="1"/>
  <c r="T12" i="1"/>
  <c r="L18" i="6" s="1"/>
  <c r="T13" i="1"/>
  <c r="L19" i="6" s="1"/>
  <c r="T14" i="1"/>
  <c r="L20" i="6" s="1"/>
  <c r="T15" i="1"/>
  <c r="L21" i="6" s="1"/>
  <c r="T39" i="1"/>
  <c r="L45" i="6" s="1"/>
  <c r="T40" i="1"/>
  <c r="T2" i="1"/>
  <c r="T3" i="1"/>
  <c r="T4" i="1"/>
  <c r="T5" i="1"/>
  <c r="L11" i="6" s="1"/>
  <c r="T6" i="1"/>
  <c r="L12" i="6" s="1"/>
  <c r="T7" i="1"/>
  <c r="L13" i="6" s="1"/>
  <c r="T8" i="1"/>
  <c r="L14" i="6" s="1"/>
  <c r="T9" i="1"/>
  <c r="L15" i="6" s="1"/>
  <c r="T16" i="1"/>
  <c r="L22" i="6" s="1"/>
  <c r="T17" i="1"/>
  <c r="L23" i="6" s="1"/>
  <c r="T18" i="1"/>
  <c r="L24" i="6" s="1"/>
  <c r="T19" i="1"/>
  <c r="L25" i="6" s="1"/>
  <c r="T20" i="1"/>
  <c r="L26" i="6" s="1"/>
  <c r="T21" i="1"/>
  <c r="L27" i="6" s="1"/>
  <c r="T22" i="1"/>
  <c r="L28" i="6" s="1"/>
  <c r="T23" i="1"/>
  <c r="L29" i="6" s="1"/>
  <c r="T24" i="1"/>
  <c r="L30" i="6" s="1"/>
  <c r="T25" i="1"/>
  <c r="L31" i="6" s="1"/>
  <c r="T26" i="1"/>
  <c r="L32" i="6" s="1"/>
  <c r="T27" i="1"/>
  <c r="L33" i="6" s="1"/>
  <c r="T28" i="1"/>
  <c r="L34" i="6" s="1"/>
  <c r="T62" i="1"/>
  <c r="L68" i="6" s="1"/>
  <c r="T63" i="1"/>
  <c r="L69" i="6" s="1"/>
  <c r="T64" i="1"/>
  <c r="L70" i="6" s="1"/>
  <c r="T65" i="1"/>
  <c r="L71" i="6" s="1"/>
  <c r="T66" i="1"/>
  <c r="L72" i="6" s="1"/>
  <c r="T67" i="1"/>
  <c r="L73" i="6" s="1"/>
  <c r="T41" i="1"/>
  <c r="L47" i="6" s="1"/>
  <c r="T42" i="1"/>
  <c r="L48" i="6" s="1"/>
  <c r="T43" i="1"/>
  <c r="L49" i="6" s="1"/>
  <c r="T44" i="1"/>
  <c r="L50" i="6" s="1"/>
  <c r="T45" i="1"/>
  <c r="L51" i="6" s="1"/>
  <c r="T46" i="1"/>
  <c r="L52" i="6" s="1"/>
  <c r="T47" i="1"/>
  <c r="L53" i="6" s="1"/>
  <c r="T48" i="1"/>
  <c r="L54" i="6" s="1"/>
  <c r="T50" i="1"/>
  <c r="L56" i="6" s="1"/>
  <c r="T51" i="1"/>
  <c r="L57" i="6" s="1"/>
  <c r="T52" i="1"/>
  <c r="L58" i="6" s="1"/>
  <c r="T53" i="1"/>
  <c r="L59" i="6" s="1"/>
  <c r="T54" i="1"/>
  <c r="L60" i="6" s="1"/>
  <c r="T55" i="1"/>
  <c r="L61" i="6" s="1"/>
  <c r="T56" i="1"/>
  <c r="L62" i="6" s="1"/>
  <c r="T57" i="1"/>
  <c r="L63" i="6" s="1"/>
  <c r="T58" i="1"/>
  <c r="L64" i="6" s="1"/>
  <c r="T49" i="1"/>
  <c r="L55" i="6" s="1"/>
  <c r="T59" i="1"/>
  <c r="L65" i="6" s="1"/>
  <c r="T60" i="1"/>
  <c r="L66" i="6" s="1"/>
  <c r="T61" i="1"/>
  <c r="L67" i="6" s="1"/>
  <c r="T68" i="1"/>
  <c r="L74" i="6" s="1"/>
  <c r="T69" i="1"/>
  <c r="L75" i="6" s="1"/>
  <c r="T70" i="1"/>
  <c r="L76" i="6" s="1"/>
  <c r="T71" i="1"/>
  <c r="L77" i="6" s="1"/>
  <c r="T72" i="1"/>
  <c r="L78" i="6" s="1"/>
  <c r="T73" i="1"/>
  <c r="L79" i="6" s="1"/>
  <c r="T74" i="1"/>
  <c r="L80" i="6" s="1"/>
  <c r="T75" i="1"/>
  <c r="L81" i="6" s="1"/>
  <c r="T76" i="1"/>
  <c r="L82" i="6" s="1"/>
  <c r="T77" i="1"/>
  <c r="L83" i="6" s="1"/>
  <c r="T78" i="1"/>
  <c r="L84" i="6" s="1"/>
  <c r="T79" i="1"/>
  <c r="L85" i="6" s="1"/>
  <c r="T80" i="1"/>
  <c r="L86" i="6" s="1"/>
  <c r="T81" i="1"/>
  <c r="L87" i="6" s="1"/>
  <c r="T82" i="1"/>
  <c r="L88" i="6" s="1"/>
  <c r="T83" i="1"/>
  <c r="L89" i="6" s="1"/>
  <c r="T84" i="1"/>
  <c r="L90" i="6" s="1"/>
  <c r="T85" i="1"/>
  <c r="L91" i="6" s="1"/>
  <c r="T86" i="1"/>
  <c r="L92" i="6" s="1"/>
  <c r="T87" i="1"/>
  <c r="L93" i="6" s="1"/>
  <c r="T89" i="1"/>
  <c r="L95" i="6" s="1"/>
  <c r="U30" i="1"/>
  <c r="M36" i="6" s="1"/>
  <c r="V30" i="1"/>
  <c r="N36" i="6" s="1"/>
  <c r="W30" i="1"/>
  <c r="O36" i="6" s="1"/>
  <c r="X30" i="1"/>
  <c r="P36" i="6" s="1"/>
  <c r="Y30" i="1"/>
  <c r="Q36" i="6" s="1"/>
  <c r="U31" i="1"/>
  <c r="M37" i="6" s="1"/>
  <c r="V31" i="1"/>
  <c r="N37" i="6" s="1"/>
  <c r="W31" i="1"/>
  <c r="O37" i="6" s="1"/>
  <c r="X31" i="1"/>
  <c r="P37" i="6" s="1"/>
  <c r="AB37" i="6" s="1"/>
  <c r="Y31" i="1"/>
  <c r="Q37" i="6" s="1"/>
  <c r="AC37" i="6" s="1"/>
  <c r="U32" i="1"/>
  <c r="M38" i="6" s="1"/>
  <c r="X32" i="1"/>
  <c r="P38" i="6" s="1"/>
  <c r="Y32" i="1"/>
  <c r="Q38" i="6" s="1"/>
  <c r="U33" i="1"/>
  <c r="M39" i="6" s="1"/>
  <c r="X33" i="1"/>
  <c r="P39" i="6" s="1"/>
  <c r="Y33" i="1"/>
  <c r="Q39" i="6" s="1"/>
  <c r="U34" i="1"/>
  <c r="M40" i="6" s="1"/>
  <c r="X34" i="1"/>
  <c r="P40" i="6" s="1"/>
  <c r="Y34" i="1"/>
  <c r="Q40" i="6" s="1"/>
  <c r="U35" i="1"/>
  <c r="M41" i="6" s="1"/>
  <c r="Y41" i="6" s="1"/>
  <c r="X35" i="1"/>
  <c r="P41" i="6" s="1"/>
  <c r="Y35" i="1"/>
  <c r="Q41" i="6" s="1"/>
  <c r="U36" i="1"/>
  <c r="M42" i="6" s="1"/>
  <c r="V36" i="1"/>
  <c r="N42" i="6" s="1"/>
  <c r="X36" i="1"/>
  <c r="P42" i="6" s="1"/>
  <c r="Y36" i="1"/>
  <c r="Q42" i="6" s="1"/>
  <c r="U37" i="1"/>
  <c r="M43" i="6" s="1"/>
  <c r="X37" i="1"/>
  <c r="P43" i="6" s="1"/>
  <c r="Y37" i="1"/>
  <c r="Q43" i="6" s="1"/>
  <c r="AC43" i="6" s="1"/>
  <c r="U38" i="1"/>
  <c r="M44" i="6" s="1"/>
  <c r="X38" i="1"/>
  <c r="P44" i="6" s="1"/>
  <c r="Y38" i="1"/>
  <c r="Q44" i="6" s="1"/>
  <c r="U10" i="1"/>
  <c r="M16" i="6" s="1"/>
  <c r="Y16" i="6" s="1"/>
  <c r="V10" i="1"/>
  <c r="N16" i="6" s="1"/>
  <c r="W10" i="1"/>
  <c r="O16" i="6" s="1"/>
  <c r="X10" i="1"/>
  <c r="P16" i="6" s="1"/>
  <c r="Y10" i="1"/>
  <c r="Q16" i="6" s="1"/>
  <c r="U11" i="1"/>
  <c r="M17" i="6" s="1"/>
  <c r="V11" i="1"/>
  <c r="N17" i="6" s="1"/>
  <c r="W11" i="1"/>
  <c r="O17" i="6" s="1"/>
  <c r="X11" i="1"/>
  <c r="P17" i="6" s="1"/>
  <c r="Y11" i="1"/>
  <c r="Q17" i="6" s="1"/>
  <c r="U12" i="1"/>
  <c r="M18" i="6" s="1"/>
  <c r="X12" i="1"/>
  <c r="P18" i="6" s="1"/>
  <c r="Y12" i="1"/>
  <c r="Q18" i="6" s="1"/>
  <c r="U13" i="1"/>
  <c r="M19" i="6" s="1"/>
  <c r="V13" i="1"/>
  <c r="N19" i="6" s="1"/>
  <c r="W13" i="1"/>
  <c r="O19" i="6" s="1"/>
  <c r="X13" i="1"/>
  <c r="P19" i="6" s="1"/>
  <c r="Y13" i="1"/>
  <c r="Q19" i="6" s="1"/>
  <c r="U14" i="1"/>
  <c r="M20" i="6" s="1"/>
  <c r="Y20" i="6" s="1"/>
  <c r="X14" i="1"/>
  <c r="P20" i="6" s="1"/>
  <c r="Y14" i="1"/>
  <c r="Q20" i="6" s="1"/>
  <c r="U15" i="1"/>
  <c r="M21" i="6" s="1"/>
  <c r="X15" i="1"/>
  <c r="P21" i="6" s="1"/>
  <c r="Y15" i="1"/>
  <c r="Q21" i="6" s="1"/>
  <c r="AC21" i="6" s="1"/>
  <c r="U39" i="1"/>
  <c r="M45" i="6" s="1"/>
  <c r="Y45" i="6" s="1"/>
  <c r="W39" i="1"/>
  <c r="O45" i="6" s="1"/>
  <c r="X39" i="1"/>
  <c r="P45" i="6" s="1"/>
  <c r="Y39" i="1"/>
  <c r="Q45" i="6" s="1"/>
  <c r="U40" i="1"/>
  <c r="M46" i="6" s="1"/>
  <c r="X40" i="1"/>
  <c r="P46" i="6" s="1"/>
  <c r="Y40" i="1"/>
  <c r="Q46" i="6" s="1"/>
  <c r="U2" i="1"/>
  <c r="V2" i="1"/>
  <c r="N8" i="6" s="1"/>
  <c r="W2" i="1"/>
  <c r="O8" i="6" s="1"/>
  <c r="X2" i="1"/>
  <c r="P8" i="6" s="1"/>
  <c r="Y2" i="1"/>
  <c r="Q8" i="6" s="1"/>
  <c r="U3" i="1"/>
  <c r="M9" i="6" s="1"/>
  <c r="Y9" i="6" s="1"/>
  <c r="V3" i="1"/>
  <c r="N9" i="6" s="1"/>
  <c r="W3" i="1"/>
  <c r="O9" i="6" s="1"/>
  <c r="X3" i="1"/>
  <c r="P9" i="6" s="1"/>
  <c r="Y3" i="1"/>
  <c r="Q9" i="6" s="1"/>
  <c r="U4" i="1"/>
  <c r="M10" i="6" s="1"/>
  <c r="X4" i="1"/>
  <c r="P10" i="6" s="1"/>
  <c r="Y4" i="1"/>
  <c r="Q10" i="6" s="1"/>
  <c r="U5" i="1"/>
  <c r="M11" i="6" s="1"/>
  <c r="X5" i="1"/>
  <c r="P11" i="6" s="1"/>
  <c r="Y5" i="1"/>
  <c r="Q11" i="6" s="1"/>
  <c r="U6" i="1"/>
  <c r="M12" i="6" s="1"/>
  <c r="X6" i="1"/>
  <c r="P12" i="6" s="1"/>
  <c r="Y6" i="1"/>
  <c r="Q12" i="6" s="1"/>
  <c r="U7" i="1"/>
  <c r="M13" i="6" s="1"/>
  <c r="V7" i="1"/>
  <c r="N13" i="6" s="1"/>
  <c r="X7" i="1"/>
  <c r="P13" i="6" s="1"/>
  <c r="Y7" i="1"/>
  <c r="Q13" i="6" s="1"/>
  <c r="U8" i="1"/>
  <c r="M14" i="6" s="1"/>
  <c r="X8" i="1"/>
  <c r="P14" i="6" s="1"/>
  <c r="Y8" i="1"/>
  <c r="Q14" i="6" s="1"/>
  <c r="U9" i="1"/>
  <c r="M15" i="6" s="1"/>
  <c r="X9" i="1"/>
  <c r="P15" i="6" s="1"/>
  <c r="Y9" i="1"/>
  <c r="Q15" i="6" s="1"/>
  <c r="U16" i="1"/>
  <c r="M22" i="6" s="1"/>
  <c r="Y22" i="6" s="1"/>
  <c r="V16" i="1"/>
  <c r="N22" i="6" s="1"/>
  <c r="W16" i="1"/>
  <c r="O22" i="6" s="1"/>
  <c r="X16" i="1"/>
  <c r="P22" i="6" s="1"/>
  <c r="Y16" i="1"/>
  <c r="Q22" i="6" s="1"/>
  <c r="U17" i="1"/>
  <c r="M23" i="6" s="1"/>
  <c r="V17" i="1"/>
  <c r="N23" i="6" s="1"/>
  <c r="W17" i="1"/>
  <c r="O23" i="6" s="1"/>
  <c r="X17" i="1"/>
  <c r="P23" i="6" s="1"/>
  <c r="Y17" i="1"/>
  <c r="Q23" i="6" s="1"/>
  <c r="U18" i="1"/>
  <c r="M24" i="6" s="1"/>
  <c r="V18" i="1"/>
  <c r="N24" i="6" s="1"/>
  <c r="W18" i="1"/>
  <c r="O24" i="6" s="1"/>
  <c r="X18" i="1"/>
  <c r="P24" i="6" s="1"/>
  <c r="Y18" i="1"/>
  <c r="Q24" i="6" s="1"/>
  <c r="U19" i="1"/>
  <c r="M25" i="6" s="1"/>
  <c r="V19" i="1"/>
  <c r="N25" i="6" s="1"/>
  <c r="W19" i="1"/>
  <c r="O25" i="6" s="1"/>
  <c r="X19" i="1"/>
  <c r="P25" i="6" s="1"/>
  <c r="Y19" i="1"/>
  <c r="Q25" i="6" s="1"/>
  <c r="AC25" i="6" s="1"/>
  <c r="U20" i="1"/>
  <c r="M26" i="6" s="1"/>
  <c r="X20" i="1"/>
  <c r="P26" i="6" s="1"/>
  <c r="Y20" i="1"/>
  <c r="Q26" i="6" s="1"/>
  <c r="U21" i="1"/>
  <c r="M27" i="6" s="1"/>
  <c r="X21" i="1"/>
  <c r="P27" i="6" s="1"/>
  <c r="Y21" i="1"/>
  <c r="Q27" i="6" s="1"/>
  <c r="U22" i="1"/>
  <c r="M28" i="6" s="1"/>
  <c r="W22" i="1"/>
  <c r="O28" i="6" s="1"/>
  <c r="X22" i="1"/>
  <c r="P28" i="6" s="1"/>
  <c r="Y22" i="1"/>
  <c r="Q28" i="6" s="1"/>
  <c r="U23" i="1"/>
  <c r="M29" i="6" s="1"/>
  <c r="Y29" i="6" s="1"/>
  <c r="X23" i="1"/>
  <c r="P29" i="6" s="1"/>
  <c r="Y23" i="1"/>
  <c r="Q29" i="6" s="1"/>
  <c r="U24" i="1"/>
  <c r="M30" i="6" s="1"/>
  <c r="X24" i="1"/>
  <c r="P30" i="6" s="1"/>
  <c r="Y24" i="1"/>
  <c r="Q30" i="6" s="1"/>
  <c r="U25" i="1"/>
  <c r="M31" i="6" s="1"/>
  <c r="X25" i="1"/>
  <c r="P31" i="6" s="1"/>
  <c r="Y25" i="1"/>
  <c r="Q31" i="6" s="1"/>
  <c r="U26" i="1"/>
  <c r="M32" i="6" s="1"/>
  <c r="Y32" i="6" s="1"/>
  <c r="X26" i="1"/>
  <c r="P32" i="6" s="1"/>
  <c r="Y26" i="1"/>
  <c r="Q32" i="6" s="1"/>
  <c r="U27" i="1"/>
  <c r="M33" i="6" s="1"/>
  <c r="X27" i="1"/>
  <c r="P33" i="6" s="1"/>
  <c r="Y27" i="1"/>
  <c r="Q33" i="6" s="1"/>
  <c r="U28" i="1"/>
  <c r="M34" i="6" s="1"/>
  <c r="X28" i="1"/>
  <c r="P34" i="6" s="1"/>
  <c r="Y28" i="1"/>
  <c r="Q34" i="6" s="1"/>
  <c r="U62" i="1"/>
  <c r="M68" i="6" s="1"/>
  <c r="V62" i="1"/>
  <c r="N68" i="6" s="1"/>
  <c r="W62" i="1"/>
  <c r="O68" i="6" s="1"/>
  <c r="X62" i="1"/>
  <c r="P68" i="6" s="1"/>
  <c r="AB68" i="6" s="1"/>
  <c r="Y62" i="1"/>
  <c r="Q68" i="6" s="1"/>
  <c r="U63" i="1"/>
  <c r="M69" i="6" s="1"/>
  <c r="X63" i="1"/>
  <c r="P69" i="6" s="1"/>
  <c r="Y63" i="1"/>
  <c r="Q69" i="6" s="1"/>
  <c r="U64" i="1"/>
  <c r="M70" i="6" s="1"/>
  <c r="V64" i="1"/>
  <c r="N70" i="6" s="1"/>
  <c r="X64" i="1"/>
  <c r="P70" i="6" s="1"/>
  <c r="Y64" i="1"/>
  <c r="Q70" i="6" s="1"/>
  <c r="U65" i="1"/>
  <c r="M71" i="6" s="1"/>
  <c r="V65" i="1"/>
  <c r="N71" i="6" s="1"/>
  <c r="W65" i="1"/>
  <c r="O71" i="6" s="1"/>
  <c r="X65" i="1"/>
  <c r="P71" i="6" s="1"/>
  <c r="Y65" i="1"/>
  <c r="Q71" i="6" s="1"/>
  <c r="AC71" i="6" s="1"/>
  <c r="U66" i="1"/>
  <c r="M72" i="6" s="1"/>
  <c r="X66" i="1"/>
  <c r="P72" i="6" s="1"/>
  <c r="Y66" i="1"/>
  <c r="Q72" i="6" s="1"/>
  <c r="U67" i="1"/>
  <c r="M73" i="6" s="1"/>
  <c r="V67" i="1"/>
  <c r="N73" i="6" s="1"/>
  <c r="W67" i="1"/>
  <c r="O73" i="6" s="1"/>
  <c r="AA73" i="6" s="1"/>
  <c r="X67" i="1"/>
  <c r="P73" i="6" s="1"/>
  <c r="AB73" i="6" s="1"/>
  <c r="Y67" i="1"/>
  <c r="Q73" i="6" s="1"/>
  <c r="AC73" i="6" s="1"/>
  <c r="U41" i="1"/>
  <c r="M47" i="6" s="1"/>
  <c r="V41" i="1"/>
  <c r="N47" i="6" s="1"/>
  <c r="W41" i="1"/>
  <c r="O47" i="6" s="1"/>
  <c r="X41" i="1"/>
  <c r="P47" i="6" s="1"/>
  <c r="Y41" i="1"/>
  <c r="Q47" i="6" s="1"/>
  <c r="U42" i="1"/>
  <c r="M48" i="6" s="1"/>
  <c r="V42" i="1"/>
  <c r="N48" i="6" s="1"/>
  <c r="W42" i="1"/>
  <c r="O48" i="6" s="1"/>
  <c r="X42" i="1"/>
  <c r="P48" i="6" s="1"/>
  <c r="Y42" i="1"/>
  <c r="Q48" i="6" s="1"/>
  <c r="U43" i="1"/>
  <c r="M49" i="6" s="1"/>
  <c r="W43" i="1"/>
  <c r="O49" i="6" s="1"/>
  <c r="X43" i="1"/>
  <c r="P49" i="6" s="1"/>
  <c r="Y43" i="1"/>
  <c r="Q49" i="6" s="1"/>
  <c r="AC49" i="6" s="1"/>
  <c r="U44" i="1"/>
  <c r="M50" i="6" s="1"/>
  <c r="Y50" i="6" s="1"/>
  <c r="W44" i="1"/>
  <c r="O50" i="6" s="1"/>
  <c r="X44" i="1"/>
  <c r="P50" i="6" s="1"/>
  <c r="Y44" i="1"/>
  <c r="Q50" i="6" s="1"/>
  <c r="U45" i="1"/>
  <c r="M51" i="6" s="1"/>
  <c r="V45" i="1"/>
  <c r="N51" i="6" s="1"/>
  <c r="W45" i="1"/>
  <c r="O51" i="6" s="1"/>
  <c r="X45" i="1"/>
  <c r="P51" i="6" s="1"/>
  <c r="Y45" i="1"/>
  <c r="Q51" i="6" s="1"/>
  <c r="U46" i="1"/>
  <c r="M52" i="6" s="1"/>
  <c r="V46" i="1"/>
  <c r="N52" i="6" s="1"/>
  <c r="W46" i="1"/>
  <c r="O52" i="6" s="1"/>
  <c r="X46" i="1"/>
  <c r="P52" i="6" s="1"/>
  <c r="Y46" i="1"/>
  <c r="Q52" i="6" s="1"/>
  <c r="U47" i="1"/>
  <c r="M53" i="6" s="1"/>
  <c r="X47" i="1"/>
  <c r="P53" i="6" s="1"/>
  <c r="Y47" i="1"/>
  <c r="Q53" i="6" s="1"/>
  <c r="U48" i="1"/>
  <c r="M54" i="6" s="1"/>
  <c r="X48" i="1"/>
  <c r="P54" i="6" s="1"/>
  <c r="Y48" i="1"/>
  <c r="Q54" i="6" s="1"/>
  <c r="U50" i="1"/>
  <c r="M56" i="6" s="1"/>
  <c r="X50" i="1"/>
  <c r="P56" i="6" s="1"/>
  <c r="Y50" i="1"/>
  <c r="Q56" i="6" s="1"/>
  <c r="U51" i="1"/>
  <c r="M57" i="6" s="1"/>
  <c r="X51" i="1"/>
  <c r="P57" i="6" s="1"/>
  <c r="Y51" i="1"/>
  <c r="Q57" i="6" s="1"/>
  <c r="U52" i="1"/>
  <c r="M58" i="6" s="1"/>
  <c r="V52" i="1"/>
  <c r="N58" i="6" s="1"/>
  <c r="X52" i="1"/>
  <c r="P58" i="6" s="1"/>
  <c r="Y52" i="1"/>
  <c r="Q58" i="6" s="1"/>
  <c r="AC58" i="6" s="1"/>
  <c r="U53" i="1"/>
  <c r="M59" i="6" s="1"/>
  <c r="X53" i="1"/>
  <c r="P59" i="6" s="1"/>
  <c r="Y53" i="1"/>
  <c r="Q59" i="6" s="1"/>
  <c r="U54" i="1"/>
  <c r="M60" i="6" s="1"/>
  <c r="V54" i="1"/>
  <c r="N60" i="6" s="1"/>
  <c r="X54" i="1"/>
  <c r="P60" i="6" s="1"/>
  <c r="Y54" i="1"/>
  <c r="Q60" i="6" s="1"/>
  <c r="U55" i="1"/>
  <c r="M61" i="6" s="1"/>
  <c r="V55" i="1"/>
  <c r="N61" i="6" s="1"/>
  <c r="Z61" i="6" s="1"/>
  <c r="W55" i="1"/>
  <c r="O61" i="6" s="1"/>
  <c r="X55" i="1"/>
  <c r="P61" i="6" s="1"/>
  <c r="AB61" i="6" s="1"/>
  <c r="Y55" i="1"/>
  <c r="Q61" i="6" s="1"/>
  <c r="U56" i="1"/>
  <c r="M62" i="6" s="1"/>
  <c r="X56" i="1"/>
  <c r="P62" i="6" s="1"/>
  <c r="Y56" i="1"/>
  <c r="Q62" i="6" s="1"/>
  <c r="U57" i="1"/>
  <c r="M63" i="6" s="1"/>
  <c r="V57" i="1"/>
  <c r="N63" i="6" s="1"/>
  <c r="W57" i="1"/>
  <c r="O63" i="6" s="1"/>
  <c r="X57" i="1"/>
  <c r="P63" i="6" s="1"/>
  <c r="Y57" i="1"/>
  <c r="Q63" i="6" s="1"/>
  <c r="U58" i="1"/>
  <c r="M64" i="6" s="1"/>
  <c r="V58" i="1"/>
  <c r="N64" i="6" s="1"/>
  <c r="W58" i="1"/>
  <c r="O64" i="6" s="1"/>
  <c r="X58" i="1"/>
  <c r="P64" i="6" s="1"/>
  <c r="AB64" i="6" s="1"/>
  <c r="Y58" i="1"/>
  <c r="Q64" i="6" s="1"/>
  <c r="AC64" i="6" s="1"/>
  <c r="U49" i="1"/>
  <c r="M55" i="6" s="1"/>
  <c r="X49" i="1"/>
  <c r="P55" i="6" s="1"/>
  <c r="Y49" i="1"/>
  <c r="Q55" i="6" s="1"/>
  <c r="AC55" i="6" s="1"/>
  <c r="U59" i="1"/>
  <c r="M65" i="6" s="1"/>
  <c r="W59" i="1"/>
  <c r="O65" i="6" s="1"/>
  <c r="X59" i="1"/>
  <c r="P65" i="6" s="1"/>
  <c r="AB65" i="6" s="1"/>
  <c r="Y59" i="1"/>
  <c r="Q65" i="6" s="1"/>
  <c r="U60" i="1"/>
  <c r="M66" i="6" s="1"/>
  <c r="V60" i="1"/>
  <c r="N66" i="6" s="1"/>
  <c r="W60" i="1"/>
  <c r="O66" i="6" s="1"/>
  <c r="X60" i="1"/>
  <c r="P66" i="6" s="1"/>
  <c r="Y60" i="1"/>
  <c r="Q66" i="6" s="1"/>
  <c r="U61" i="1"/>
  <c r="M67" i="6" s="1"/>
  <c r="X61" i="1"/>
  <c r="P67" i="6" s="1"/>
  <c r="Y61" i="1"/>
  <c r="Q67" i="6" s="1"/>
  <c r="U68" i="1"/>
  <c r="M74" i="6" s="1"/>
  <c r="V68" i="1"/>
  <c r="N74" i="6" s="1"/>
  <c r="W68" i="1"/>
  <c r="O74" i="6" s="1"/>
  <c r="X68" i="1"/>
  <c r="P74" i="6" s="1"/>
  <c r="Y68" i="1"/>
  <c r="Q74" i="6" s="1"/>
  <c r="U69" i="1"/>
  <c r="M75" i="6" s="1"/>
  <c r="V69" i="1"/>
  <c r="N75" i="6" s="1"/>
  <c r="W69" i="1"/>
  <c r="O75" i="6" s="1"/>
  <c r="X69" i="1"/>
  <c r="P75" i="6" s="1"/>
  <c r="Y69" i="1"/>
  <c r="Q75" i="6" s="1"/>
  <c r="AC75" i="6" s="1"/>
  <c r="U70" i="1"/>
  <c r="M76" i="6" s="1"/>
  <c r="Y76" i="6" s="1"/>
  <c r="X70" i="1"/>
  <c r="P76" i="6" s="1"/>
  <c r="Y70" i="1"/>
  <c r="Q76" i="6" s="1"/>
  <c r="U71" i="1"/>
  <c r="M77" i="6" s="1"/>
  <c r="W71" i="1"/>
  <c r="O77" i="6" s="1"/>
  <c r="X71" i="1"/>
  <c r="P77" i="6" s="1"/>
  <c r="AB77" i="6" s="1"/>
  <c r="Y71" i="1"/>
  <c r="Q77" i="6" s="1"/>
  <c r="U72" i="1"/>
  <c r="M78" i="6" s="1"/>
  <c r="W72" i="1"/>
  <c r="O78" i="6" s="1"/>
  <c r="X72" i="1"/>
  <c r="P78" i="6" s="1"/>
  <c r="Y72" i="1"/>
  <c r="Q78" i="6" s="1"/>
  <c r="U73" i="1"/>
  <c r="M79" i="6" s="1"/>
  <c r="Y79" i="6" s="1"/>
  <c r="V73" i="1"/>
  <c r="N79" i="6" s="1"/>
  <c r="X73" i="1"/>
  <c r="P79" i="6" s="1"/>
  <c r="AB79" i="6" s="1"/>
  <c r="Y73" i="1"/>
  <c r="Q79" i="6" s="1"/>
  <c r="AC79" i="6" s="1"/>
  <c r="U74" i="1"/>
  <c r="M80" i="6" s="1"/>
  <c r="Y80" i="6" s="1"/>
  <c r="X74" i="1"/>
  <c r="P80" i="6" s="1"/>
  <c r="AB80" i="6" s="1"/>
  <c r="Y74" i="1"/>
  <c r="Q80" i="6" s="1"/>
  <c r="U75" i="1"/>
  <c r="M81" i="6" s="1"/>
  <c r="V75" i="1"/>
  <c r="N81" i="6" s="1"/>
  <c r="X75" i="1"/>
  <c r="P81" i="6" s="1"/>
  <c r="Y75" i="1"/>
  <c r="Q81" i="6" s="1"/>
  <c r="AC81" i="6" s="1"/>
  <c r="U76" i="1"/>
  <c r="M82" i="6" s="1"/>
  <c r="V76" i="1"/>
  <c r="N82" i="6" s="1"/>
  <c r="W76" i="1"/>
  <c r="O82" i="6" s="1"/>
  <c r="X76" i="1"/>
  <c r="P82" i="6" s="1"/>
  <c r="Y76" i="1"/>
  <c r="Q82" i="6" s="1"/>
  <c r="U77" i="1"/>
  <c r="M83" i="6" s="1"/>
  <c r="V77" i="1"/>
  <c r="N83" i="6" s="1"/>
  <c r="Z83" i="6" s="1"/>
  <c r="W77" i="1"/>
  <c r="O83" i="6" s="1"/>
  <c r="X77" i="1"/>
  <c r="P83" i="6" s="1"/>
  <c r="Y77" i="1"/>
  <c r="Q83" i="6" s="1"/>
  <c r="U78" i="1"/>
  <c r="M84" i="6" s="1"/>
  <c r="V78" i="1"/>
  <c r="N84" i="6" s="1"/>
  <c r="W78" i="1"/>
  <c r="O84" i="6" s="1"/>
  <c r="X78" i="1"/>
  <c r="P84" i="6" s="1"/>
  <c r="Y78" i="1"/>
  <c r="Q84" i="6" s="1"/>
  <c r="U79" i="1"/>
  <c r="M85" i="6" s="1"/>
  <c r="V79" i="1"/>
  <c r="N85" i="6" s="1"/>
  <c r="Z85" i="6" s="1"/>
  <c r="W79" i="1"/>
  <c r="O85" i="6" s="1"/>
  <c r="X79" i="1"/>
  <c r="P85" i="6" s="1"/>
  <c r="Y79" i="1"/>
  <c r="Q85" i="6" s="1"/>
  <c r="U80" i="1"/>
  <c r="M86" i="6" s="1"/>
  <c r="X80" i="1"/>
  <c r="P86" i="6" s="1"/>
  <c r="Y80" i="1"/>
  <c r="Q86" i="6" s="1"/>
  <c r="U81" i="1"/>
  <c r="M87" i="6" s="1"/>
  <c r="W81" i="1"/>
  <c r="O87" i="6" s="1"/>
  <c r="X81" i="1"/>
  <c r="P87" i="6" s="1"/>
  <c r="Y81" i="1"/>
  <c r="Q87" i="6" s="1"/>
  <c r="AC87" i="6" s="1"/>
  <c r="U82" i="1"/>
  <c r="M88" i="6" s="1"/>
  <c r="V82" i="1"/>
  <c r="N88" i="6" s="1"/>
  <c r="W82" i="1"/>
  <c r="O88" i="6" s="1"/>
  <c r="X82" i="1"/>
  <c r="P88" i="6" s="1"/>
  <c r="Y82" i="1"/>
  <c r="Q88" i="6" s="1"/>
  <c r="AC88" i="6" s="1"/>
  <c r="U83" i="1"/>
  <c r="M89" i="6" s="1"/>
  <c r="Y89" i="6" s="1"/>
  <c r="X83" i="1"/>
  <c r="P89" i="6" s="1"/>
  <c r="Y83" i="1"/>
  <c r="Q89" i="6" s="1"/>
  <c r="U84" i="1"/>
  <c r="M90" i="6" s="1"/>
  <c r="V84" i="1"/>
  <c r="N90" i="6" s="1"/>
  <c r="X84" i="1"/>
  <c r="P90" i="6" s="1"/>
  <c r="Y84" i="1"/>
  <c r="Q90" i="6" s="1"/>
  <c r="U85" i="1"/>
  <c r="M91" i="6" s="1"/>
  <c r="Y91" i="6" s="1"/>
  <c r="V85" i="1"/>
  <c r="N91" i="6" s="1"/>
  <c r="W85" i="1"/>
  <c r="O91" i="6" s="1"/>
  <c r="X85" i="1"/>
  <c r="P91" i="6" s="1"/>
  <c r="Y85" i="1"/>
  <c r="Q91" i="6" s="1"/>
  <c r="U86" i="1"/>
  <c r="M92" i="6" s="1"/>
  <c r="V86" i="1"/>
  <c r="N92" i="6" s="1"/>
  <c r="X86" i="1"/>
  <c r="P92" i="6" s="1"/>
  <c r="Y86" i="1"/>
  <c r="Q92" i="6" s="1"/>
  <c r="U87" i="1"/>
  <c r="M93" i="6" s="1"/>
  <c r="W87" i="1"/>
  <c r="O93" i="6" s="1"/>
  <c r="X87" i="1"/>
  <c r="P93" i="6" s="1"/>
  <c r="AB93" i="6" s="1"/>
  <c r="Y87" i="1"/>
  <c r="Q93" i="6" s="1"/>
  <c r="U89" i="1"/>
  <c r="M95" i="6" s="1"/>
  <c r="W89" i="1"/>
  <c r="O95" i="6" s="1"/>
  <c r="X89" i="1"/>
  <c r="P95" i="6" s="1"/>
  <c r="AB95" i="6" s="1"/>
  <c r="Y89" i="1"/>
  <c r="Q95" i="6" s="1"/>
  <c r="Y29" i="1"/>
  <c r="Q35" i="6" s="1"/>
  <c r="X29" i="1"/>
  <c r="P35" i="6" s="1"/>
  <c r="W29" i="1"/>
  <c r="O35" i="6" s="1"/>
  <c r="V29" i="1"/>
  <c r="N35" i="6" s="1"/>
  <c r="U29" i="1"/>
  <c r="M35" i="6" s="1"/>
  <c r="U5" i="5"/>
  <c r="W7" i="1" s="1"/>
  <c r="O13" i="6" s="1"/>
  <c r="AA13" i="6" s="1"/>
  <c r="U4" i="5"/>
  <c r="W36" i="1" s="1"/>
  <c r="O42" i="6" s="1"/>
  <c r="T4" i="5"/>
  <c r="V33" i="1" s="1"/>
  <c r="N39" i="6" s="1"/>
  <c r="D41" i="11" l="1"/>
  <c r="E41" i="11" s="1"/>
  <c r="Y74" i="6"/>
  <c r="AB56" i="6"/>
  <c r="AB11" i="6"/>
  <c r="AB59" i="6"/>
  <c r="AC33" i="6"/>
  <c r="Y26" i="6"/>
  <c r="AB29" i="6"/>
  <c r="AA65" i="6"/>
  <c r="AB35" i="6"/>
  <c r="AB53" i="6"/>
  <c r="Y14" i="6"/>
  <c r="AA95" i="6"/>
  <c r="AB89" i="6"/>
  <c r="Y86" i="6"/>
  <c r="AB83" i="6"/>
  <c r="Y25" i="6"/>
  <c r="AC59" i="6"/>
  <c r="Y27" i="6"/>
  <c r="Y12" i="6"/>
  <c r="AC26" i="6"/>
  <c r="Y15" i="6"/>
  <c r="AC17" i="6"/>
  <c r="Y73" i="6"/>
  <c r="AA35" i="6"/>
  <c r="AC89" i="6"/>
  <c r="Z75" i="6"/>
  <c r="AC53" i="6"/>
  <c r="Z48" i="6"/>
  <c r="AA23" i="6"/>
  <c r="AC92" i="6"/>
  <c r="AC83" i="6"/>
  <c r="Y75" i="6"/>
  <c r="Y48" i="6"/>
  <c r="AC56" i="6"/>
  <c r="AC41" i="6"/>
  <c r="AC77" i="6"/>
  <c r="AA93" i="6"/>
  <c r="Y93" i="6"/>
  <c r="AA87" i="6"/>
  <c r="AB75" i="6"/>
  <c r="Y59" i="6"/>
  <c r="AB84" i="6"/>
  <c r="AB81" i="6"/>
  <c r="Y78" i="6"/>
  <c r="AB25" i="6"/>
  <c r="Y43" i="6"/>
  <c r="AB39" i="6"/>
  <c r="AB87" i="6"/>
  <c r="AA61" i="6"/>
  <c r="AB69" i="6"/>
  <c r="Y66" i="6"/>
  <c r="D9" i="11"/>
  <c r="E9" i="11" s="1"/>
  <c r="D38" i="11"/>
  <c r="E38" i="11" s="1"/>
  <c r="AC69" i="6"/>
  <c r="Y58" i="6"/>
  <c r="Y10" i="6"/>
  <c r="AB91" i="6"/>
  <c r="AB85" i="6"/>
  <c r="AB63" i="6"/>
  <c r="AB57" i="6"/>
  <c r="AC45" i="6"/>
  <c r="AA19" i="6"/>
  <c r="D7" i="11"/>
  <c r="E7" i="11" s="1"/>
  <c r="AA91" i="6"/>
  <c r="AA85" i="6"/>
  <c r="Y42" i="6"/>
  <c r="Y83" i="6"/>
  <c r="AA63" i="6"/>
  <c r="Y57" i="6"/>
  <c r="Y95" i="6"/>
  <c r="AB31" i="6"/>
  <c r="AB24" i="6"/>
  <c r="AA45" i="6"/>
  <c r="AC22" i="6"/>
  <c r="E4" i="11"/>
  <c r="E19" i="11"/>
  <c r="E28" i="11" s="1"/>
  <c r="F28" i="11" s="1"/>
  <c r="D29" i="11"/>
  <c r="D28" i="11"/>
  <c r="E33" i="11"/>
  <c r="E42" i="11" s="1"/>
  <c r="D42" i="11"/>
  <c r="A3" i="6"/>
  <c r="AB15" i="6"/>
  <c r="K2" i="6"/>
  <c r="E3" i="6" s="1"/>
  <c r="Y53" i="6"/>
  <c r="Y69" i="6"/>
  <c r="AC86" i="6"/>
  <c r="AB51" i="6"/>
  <c r="AC90" i="6"/>
  <c r="AC62" i="6"/>
  <c r="AC30" i="6"/>
  <c r="AC94" i="6"/>
  <c r="AC78" i="6"/>
  <c r="AC74" i="6"/>
  <c r="Y19" i="6"/>
  <c r="AA71" i="6"/>
  <c r="AC46" i="6"/>
  <c r="AB71" i="6"/>
  <c r="AB92" i="6"/>
  <c r="AB88" i="6"/>
  <c r="AA77" i="6"/>
  <c r="AB67" i="6"/>
  <c r="AA64" i="6"/>
  <c r="Y51" i="6"/>
  <c r="AA47" i="6"/>
  <c r="AC70" i="6"/>
  <c r="AB33" i="6"/>
  <c r="AA17" i="6"/>
  <c r="AA37" i="6"/>
  <c r="AC34" i="6"/>
  <c r="AB43" i="6"/>
  <c r="Y18" i="6"/>
  <c r="Y67" i="6"/>
  <c r="AC82" i="6"/>
  <c r="AC38" i="6"/>
  <c r="AB55" i="6"/>
  <c r="Y82" i="6"/>
  <c r="Y34" i="6"/>
  <c r="AC42" i="6"/>
  <c r="Y85" i="6"/>
  <c r="AD85" i="6" s="1"/>
  <c r="Z92" i="6"/>
  <c r="AA88" i="6"/>
  <c r="AC54" i="6"/>
  <c r="AC50" i="6"/>
  <c r="Y35" i="6"/>
  <c r="Z88" i="6"/>
  <c r="AA84" i="6"/>
  <c r="AC66" i="6"/>
  <c r="Y64" i="6"/>
  <c r="Y47" i="6"/>
  <c r="Y21" i="6"/>
  <c r="Y37" i="6"/>
  <c r="Z84" i="6"/>
  <c r="AB76" i="6"/>
  <c r="AB41" i="6"/>
  <c r="AB30" i="6"/>
  <c r="AB94" i="6"/>
  <c r="AC95" i="6"/>
  <c r="Y49" i="6"/>
  <c r="AB90" i="6"/>
  <c r="AB86" i="6"/>
  <c r="Y65" i="6"/>
  <c r="Y38" i="6"/>
  <c r="AC67" i="6"/>
  <c r="AA24" i="6"/>
  <c r="AA28" i="6"/>
  <c r="Y33" i="6"/>
  <c r="AC51" i="6"/>
  <c r="Y81" i="6"/>
  <c r="Y17" i="6"/>
  <c r="AC91" i="6"/>
  <c r="AC63" i="6"/>
  <c r="Y54" i="6"/>
  <c r="Y70" i="6"/>
  <c r="AB27" i="6"/>
  <c r="AB23" i="6"/>
  <c r="AB13" i="6"/>
  <c r="AC31" i="6"/>
  <c r="AC39" i="6"/>
  <c r="AC35" i="6"/>
  <c r="AC19" i="6"/>
  <c r="Z74" i="6"/>
  <c r="Z82" i="6"/>
  <c r="AC47" i="6"/>
  <c r="AC28" i="6"/>
  <c r="Z24" i="6"/>
  <c r="Z64" i="6"/>
  <c r="Y24" i="6"/>
  <c r="AA9" i="6"/>
  <c r="Y56" i="6"/>
  <c r="Z42" i="6"/>
  <c r="Z60" i="6"/>
  <c r="AC27" i="6"/>
  <c r="AC23" i="6"/>
  <c r="Y88" i="6"/>
  <c r="AB26" i="6"/>
  <c r="AB62" i="6"/>
  <c r="AC11" i="6"/>
  <c r="AB58" i="6"/>
  <c r="AB22" i="6"/>
  <c r="AB38" i="6"/>
  <c r="X8" i="6"/>
  <c r="AA82" i="6"/>
  <c r="AA78" i="6"/>
  <c r="AA74" i="6"/>
  <c r="AC15" i="6"/>
  <c r="AC10" i="6"/>
  <c r="AB18" i="6"/>
  <c r="Y55" i="6"/>
  <c r="AB34" i="6"/>
  <c r="AC24" i="6"/>
  <c r="AB10" i="6"/>
  <c r="AB45" i="6"/>
  <c r="Z71" i="6"/>
  <c r="Z39" i="6"/>
  <c r="Z51" i="6"/>
  <c r="Y71" i="6"/>
  <c r="AB28" i="6"/>
  <c r="AC14" i="6"/>
  <c r="AB17" i="6"/>
  <c r="AB42" i="6"/>
  <c r="AB14" i="6"/>
  <c r="AB9" i="6"/>
  <c r="AA42" i="6"/>
  <c r="AB70" i="6"/>
  <c r="AB21" i="6"/>
  <c r="AB54" i="6"/>
  <c r="X9" i="6"/>
  <c r="AB66" i="6"/>
  <c r="AA50" i="6"/>
  <c r="Y23" i="6"/>
  <c r="AB50" i="6"/>
  <c r="Y84" i="6"/>
  <c r="AA66" i="6"/>
  <c r="Z79" i="6"/>
  <c r="AA51" i="6"/>
  <c r="AB49" i="6"/>
  <c r="AC9" i="6"/>
  <c r="AC8" i="6"/>
  <c r="Z17" i="6"/>
  <c r="Z37" i="6"/>
  <c r="Y61" i="6"/>
  <c r="Z81" i="6"/>
  <c r="Y77" i="6"/>
  <c r="AB60" i="6"/>
  <c r="Z47" i="6"/>
  <c r="Y28" i="6"/>
  <c r="Y92" i="6"/>
  <c r="AC76" i="6"/>
  <c r="Z70" i="6"/>
  <c r="AC32" i="6"/>
  <c r="AC13" i="6"/>
  <c r="Z9" i="6"/>
  <c r="Z35" i="6"/>
  <c r="AC80" i="6"/>
  <c r="Y60" i="6"/>
  <c r="AB32" i="6"/>
  <c r="AC20" i="6"/>
  <c r="AC16" i="6"/>
  <c r="AC36" i="6"/>
  <c r="Y8" i="6"/>
  <c r="AB36" i="6"/>
  <c r="AB47" i="6"/>
  <c r="AB20" i="6"/>
  <c r="AB8" i="6"/>
  <c r="AC60" i="6"/>
  <c r="AB16" i="6"/>
  <c r="Z66" i="6"/>
  <c r="Y13" i="6"/>
  <c r="AA16" i="6"/>
  <c r="AC40" i="6"/>
  <c r="AA36" i="6"/>
  <c r="Z63" i="6"/>
  <c r="AA8" i="6"/>
  <c r="Z13" i="6"/>
  <c r="Z23" i="6"/>
  <c r="Z91" i="6"/>
  <c r="Z73" i="6"/>
  <c r="AC12" i="6"/>
  <c r="Z16" i="6"/>
  <c r="AB40" i="6"/>
  <c r="Z36" i="6"/>
  <c r="Y87" i="6"/>
  <c r="AA83" i="6"/>
  <c r="AA75" i="6"/>
  <c r="AC65" i="6"/>
  <c r="Y63" i="6"/>
  <c r="AC52" i="6"/>
  <c r="AA49" i="6"/>
  <c r="AC68" i="6"/>
  <c r="Y31" i="6"/>
  <c r="AB12" i="6"/>
  <c r="Z8" i="6"/>
  <c r="AB19" i="6"/>
  <c r="Y40" i="6"/>
  <c r="Y36" i="6"/>
  <c r="AC44" i="6"/>
  <c r="AC84" i="6"/>
  <c r="AC72" i="6"/>
  <c r="Z58" i="6"/>
  <c r="AA52" i="6"/>
  <c r="AC48" i="6"/>
  <c r="AB72" i="6"/>
  <c r="AA68" i="6"/>
  <c r="AA22" i="6"/>
  <c r="Z19" i="6"/>
  <c r="AB44" i="6"/>
  <c r="AB52" i="6"/>
  <c r="Z90" i="6"/>
  <c r="Y62" i="6"/>
  <c r="Z52" i="6"/>
  <c r="AB48" i="6"/>
  <c r="Y72" i="6"/>
  <c r="Z68" i="6"/>
  <c r="Y30" i="6"/>
  <c r="AA25" i="6"/>
  <c r="Z22" i="6"/>
  <c r="AB46" i="6"/>
  <c r="Y44" i="6"/>
  <c r="Y39" i="6"/>
  <c r="AA94" i="6"/>
  <c r="AC93" i="6"/>
  <c r="Y90" i="6"/>
  <c r="AC85" i="6"/>
  <c r="AB82" i="6"/>
  <c r="AB78" i="6"/>
  <c r="AB74" i="6"/>
  <c r="AC61" i="6"/>
  <c r="AC57" i="6"/>
  <c r="Y52" i="6"/>
  <c r="AA48" i="6"/>
  <c r="Y68" i="6"/>
  <c r="AC29" i="6"/>
  <c r="Z25" i="6"/>
  <c r="Y11" i="6"/>
  <c r="Y46" i="6"/>
  <c r="AC18" i="6"/>
  <c r="Y94" i="6"/>
  <c r="R8" i="6"/>
  <c r="L46" i="6"/>
  <c r="L36" i="6"/>
  <c r="X16" i="6"/>
  <c r="X47" i="6"/>
  <c r="X66" i="6"/>
  <c r="X22" i="6"/>
  <c r="X25" i="6"/>
  <c r="X75" i="6"/>
  <c r="X88" i="6"/>
  <c r="X91" i="6"/>
  <c r="X35" i="6"/>
  <c r="X17" i="6"/>
  <c r="X64" i="6"/>
  <c r="X36" i="6"/>
  <c r="X24" i="6"/>
  <c r="X84" i="6"/>
  <c r="X13" i="6"/>
  <c r="X68" i="6"/>
  <c r="W47" i="1"/>
  <c r="V44" i="1"/>
  <c r="W25" i="1"/>
  <c r="V22" i="1"/>
  <c r="V39" i="1"/>
  <c r="W32" i="1"/>
  <c r="V88" i="1"/>
  <c r="W28" i="1"/>
  <c r="V25" i="1"/>
  <c r="W6" i="1"/>
  <c r="W35" i="1"/>
  <c r="V32" i="1"/>
  <c r="W51" i="1"/>
  <c r="V47" i="1"/>
  <c r="V89" i="1"/>
  <c r="W75" i="1"/>
  <c r="V72" i="1"/>
  <c r="W54" i="1"/>
  <c r="V51" i="1"/>
  <c r="W64" i="1"/>
  <c r="V28" i="1"/>
  <c r="W9" i="1"/>
  <c r="V6" i="1"/>
  <c r="W38" i="1"/>
  <c r="V35" i="1"/>
  <c r="V9" i="1"/>
  <c r="W12" i="1"/>
  <c r="V38" i="1"/>
  <c r="W21" i="1"/>
  <c r="W15" i="1"/>
  <c r="V12" i="1"/>
  <c r="W84" i="1"/>
  <c r="V81" i="1"/>
  <c r="V59" i="1"/>
  <c r="V43" i="1"/>
  <c r="W24" i="1"/>
  <c r="V21" i="1"/>
  <c r="V15" i="1"/>
  <c r="W50" i="1"/>
  <c r="W27" i="1"/>
  <c r="V24" i="1"/>
  <c r="W5" i="1"/>
  <c r="W34" i="1"/>
  <c r="V87" i="1"/>
  <c r="W74" i="1"/>
  <c r="V71" i="1"/>
  <c r="W53" i="1"/>
  <c r="V50" i="1"/>
  <c r="W63" i="1"/>
  <c r="V27" i="1"/>
  <c r="W8" i="1"/>
  <c r="V5" i="1"/>
  <c r="W37" i="1"/>
  <c r="V34" i="1"/>
  <c r="V74" i="1"/>
  <c r="W56" i="1"/>
  <c r="V53" i="1"/>
  <c r="W66" i="1"/>
  <c r="V63" i="1"/>
  <c r="V8" i="1"/>
  <c r="V37" i="1"/>
  <c r="W49" i="1"/>
  <c r="V56" i="1"/>
  <c r="V66" i="1"/>
  <c r="W20" i="1"/>
  <c r="W14" i="1"/>
  <c r="W80" i="1"/>
  <c r="W61" i="1"/>
  <c r="W23" i="1"/>
  <c r="V20" i="1"/>
  <c r="W40" i="1"/>
  <c r="V14" i="1"/>
  <c r="W83" i="1"/>
  <c r="V80" i="1"/>
  <c r="V49" i="1"/>
  <c r="W86" i="1"/>
  <c r="V83" i="1"/>
  <c r="W70" i="1"/>
  <c r="V61" i="1"/>
  <c r="W48" i="1"/>
  <c r="W26" i="1"/>
  <c r="V23" i="1"/>
  <c r="W4" i="1"/>
  <c r="V40" i="1"/>
  <c r="W33" i="1"/>
  <c r="W73" i="1"/>
  <c r="V70" i="1"/>
  <c r="W52" i="1"/>
  <c r="V48" i="1"/>
  <c r="V26" i="1"/>
  <c r="V4" i="1"/>
  <c r="R51" i="6"/>
  <c r="R48" i="6"/>
  <c r="R17" i="6"/>
  <c r="R64" i="6"/>
  <c r="R19" i="6"/>
  <c r="R88" i="6"/>
  <c r="R23" i="6"/>
  <c r="R16" i="6"/>
  <c r="R9" i="6"/>
  <c r="R82" i="6"/>
  <c r="R13" i="6"/>
  <c r="R63" i="6"/>
  <c r="R47" i="6"/>
  <c r="R42" i="6"/>
  <c r="R22" i="6"/>
  <c r="R66" i="6"/>
  <c r="R24" i="6"/>
  <c r="R74" i="6"/>
  <c r="R83" i="6"/>
  <c r="R35" i="6"/>
  <c r="R37" i="6"/>
  <c r="R71" i="6"/>
  <c r="R25" i="6"/>
  <c r="R84" i="6"/>
  <c r="R68" i="6"/>
  <c r="R52" i="6"/>
  <c r="R36" i="6"/>
  <c r="R61" i="6"/>
  <c r="R85" i="6"/>
  <c r="R75" i="6"/>
  <c r="R91" i="6"/>
  <c r="R73" i="6"/>
  <c r="AD91" i="6" l="1"/>
  <c r="D43" i="11"/>
  <c r="AD73" i="6"/>
  <c r="AD61" i="6"/>
  <c r="E43" i="11"/>
  <c r="E14" i="11"/>
  <c r="E13" i="11"/>
  <c r="F8" i="11" s="1"/>
  <c r="G8" i="11" s="1"/>
  <c r="D13" i="11"/>
  <c r="AD75" i="6"/>
  <c r="D14" i="11"/>
  <c r="AD35" i="6"/>
  <c r="F13" i="11"/>
  <c r="AD83" i="6"/>
  <c r="F42" i="11"/>
  <c r="E29" i="11"/>
  <c r="F19" i="11" s="1"/>
  <c r="G19" i="11" s="1"/>
  <c r="F33" i="11"/>
  <c r="G33" i="11" s="1"/>
  <c r="F34" i="11"/>
  <c r="G34" i="11" s="1"/>
  <c r="F35" i="11"/>
  <c r="G35" i="11" s="1"/>
  <c r="F36" i="11"/>
  <c r="G36" i="11" s="1"/>
  <c r="F37" i="11"/>
  <c r="G37" i="11" s="1"/>
  <c r="F38" i="11"/>
  <c r="G38" i="11" s="1"/>
  <c r="F39" i="11"/>
  <c r="G39" i="11" s="1"/>
  <c r="F40" i="11"/>
  <c r="G40" i="11" s="1"/>
  <c r="F41" i="11"/>
  <c r="G41" i="11" s="1"/>
  <c r="AD37" i="6"/>
  <c r="AD88" i="6"/>
  <c r="AD64" i="6"/>
  <c r="AD84" i="6"/>
  <c r="AD71" i="6"/>
  <c r="AD24" i="6"/>
  <c r="AD19" i="6"/>
  <c r="AD51" i="6"/>
  <c r="F6" i="11"/>
  <c r="G6" i="11" s="1"/>
  <c r="AD82" i="6"/>
  <c r="AD74" i="6"/>
  <c r="AD42" i="6"/>
  <c r="AD23" i="6"/>
  <c r="AD8" i="6"/>
  <c r="AD17" i="6"/>
  <c r="AD25" i="6"/>
  <c r="AD22" i="6"/>
  <c r="AD13" i="6"/>
  <c r="AD9" i="6"/>
  <c r="AD66" i="6"/>
  <c r="AD48" i="6"/>
  <c r="AD68" i="6"/>
  <c r="AD36" i="6"/>
  <c r="AD47" i="6"/>
  <c r="AD16" i="6"/>
  <c r="AD63" i="6"/>
  <c r="AD52" i="6"/>
  <c r="N53" i="6"/>
  <c r="Z53" i="6" s="1"/>
  <c r="X76" i="6"/>
  <c r="X73" i="6"/>
  <c r="O21" i="6"/>
  <c r="X21" i="6"/>
  <c r="O80" i="6"/>
  <c r="N44" i="6"/>
  <c r="Z44" i="6" s="1"/>
  <c r="N56" i="6"/>
  <c r="Z56" i="6" s="1"/>
  <c r="N18" i="6"/>
  <c r="Z18" i="6" s="1"/>
  <c r="N69" i="6"/>
  <c r="Z69" i="6" s="1"/>
  <c r="N86" i="6"/>
  <c r="Z86" i="6" s="1"/>
  <c r="X86" i="6"/>
  <c r="X11" i="6"/>
  <c r="N67" i="6"/>
  <c r="O27" i="6"/>
  <c r="AA27" i="6" s="1"/>
  <c r="O92" i="6"/>
  <c r="X51" i="6"/>
  <c r="X63" i="6"/>
  <c r="X44" i="6"/>
  <c r="N72" i="6"/>
  <c r="Z72" i="6" s="1"/>
  <c r="N95" i="6"/>
  <c r="O55" i="6"/>
  <c r="X27" i="6"/>
  <c r="N10" i="6"/>
  <c r="Z10" i="6" s="1"/>
  <c r="N59" i="6"/>
  <c r="Z59" i="6" s="1"/>
  <c r="N30" i="6"/>
  <c r="Z30" i="6" s="1"/>
  <c r="N31" i="6"/>
  <c r="Z31" i="6" s="1"/>
  <c r="O44" i="6"/>
  <c r="AA44" i="6" s="1"/>
  <c r="X92" i="6"/>
  <c r="X48" i="6"/>
  <c r="X41" i="6"/>
  <c r="O54" i="6"/>
  <c r="O76" i="6"/>
  <c r="N15" i="6"/>
  <c r="Z15" i="6" s="1"/>
  <c r="O34" i="6"/>
  <c r="AA34" i="6" s="1"/>
  <c r="N55" i="6"/>
  <c r="Z55" i="6" s="1"/>
  <c r="X55" i="6"/>
  <c r="X15" i="6"/>
  <c r="O79" i="6"/>
  <c r="X79" i="6"/>
  <c r="X34" i="6"/>
  <c r="O81" i="6"/>
  <c r="X81" i="6"/>
  <c r="N43" i="6"/>
  <c r="X43" i="6"/>
  <c r="O57" i="6"/>
  <c r="AA57" i="6" s="1"/>
  <c r="N38" i="6"/>
  <c r="O40" i="6"/>
  <c r="AA40" i="6" s="1"/>
  <c r="O18" i="6"/>
  <c r="AA18" i="6" s="1"/>
  <c r="X18" i="6"/>
  <c r="O11" i="6"/>
  <c r="AA11" i="6" s="1"/>
  <c r="O33" i="6"/>
  <c r="AA33" i="6" s="1"/>
  <c r="N40" i="6"/>
  <c r="X40" i="6"/>
  <c r="O15" i="6"/>
  <c r="AA15" i="6" s="1"/>
  <c r="O29" i="6"/>
  <c r="AA29" i="6" s="1"/>
  <c r="N34" i="6"/>
  <c r="Z34" i="6" s="1"/>
  <c r="N45" i="6"/>
  <c r="X83" i="6"/>
  <c r="X37" i="6"/>
  <c r="X82" i="6"/>
  <c r="N62" i="6"/>
  <c r="Z62" i="6" s="1"/>
  <c r="N14" i="6"/>
  <c r="X14" i="6"/>
  <c r="X46" i="6"/>
  <c r="O89" i="6"/>
  <c r="AA89" i="6" s="1"/>
  <c r="N41" i="6"/>
  <c r="Z41" i="6" s="1"/>
  <c r="X39" i="6"/>
  <c r="N20" i="6"/>
  <c r="Z20" i="6" s="1"/>
  <c r="X20" i="6"/>
  <c r="O62" i="6"/>
  <c r="AA62" i="6" s="1"/>
  <c r="N76" i="6"/>
  <c r="Z76" i="6" s="1"/>
  <c r="N80" i="6"/>
  <c r="Z80" i="6" s="1"/>
  <c r="X80" i="6"/>
  <c r="N12" i="6"/>
  <c r="X12" i="6"/>
  <c r="X58" i="6"/>
  <c r="O39" i="6"/>
  <c r="O43" i="6"/>
  <c r="AA43" i="6" s="1"/>
  <c r="N27" i="6"/>
  <c r="Z27" i="6" s="1"/>
  <c r="N46" i="6"/>
  <c r="Z46" i="6" s="1"/>
  <c r="O67" i="6"/>
  <c r="AA67" i="6" s="1"/>
  <c r="N11" i="6"/>
  <c r="Z11" i="6" s="1"/>
  <c r="O30" i="6"/>
  <c r="AA30" i="6" s="1"/>
  <c r="X30" i="6"/>
  <c r="O70" i="6"/>
  <c r="X70" i="6"/>
  <c r="N28" i="6"/>
  <c r="X28" i="6"/>
  <c r="X61" i="6"/>
  <c r="X42" i="6"/>
  <c r="O90" i="6"/>
  <c r="X90" i="6"/>
  <c r="O59" i="6"/>
  <c r="N77" i="6"/>
  <c r="X77" i="6"/>
  <c r="N26" i="6"/>
  <c r="X26" i="6"/>
  <c r="N21" i="6"/>
  <c r="Z21" i="6" s="1"/>
  <c r="O38" i="6"/>
  <c r="AA38" i="6" s="1"/>
  <c r="O86" i="6"/>
  <c r="AA86" i="6" s="1"/>
  <c r="N49" i="6"/>
  <c r="N57" i="6"/>
  <c r="Z57" i="6" s="1"/>
  <c r="X57" i="6"/>
  <c r="O31" i="6"/>
  <c r="AA31" i="6" s="1"/>
  <c r="X52" i="6"/>
  <c r="X45" i="6"/>
  <c r="X23" i="6"/>
  <c r="X38" i="6"/>
  <c r="O41" i="6"/>
  <c r="AA41" i="6" s="1"/>
  <c r="O72" i="6"/>
  <c r="AA72" i="6" s="1"/>
  <c r="O12" i="6"/>
  <c r="AA12" i="6" s="1"/>
  <c r="N54" i="6"/>
  <c r="Z54" i="6" s="1"/>
  <c r="O46" i="6"/>
  <c r="O56" i="6"/>
  <c r="AA56" i="6" s="1"/>
  <c r="N94" i="6"/>
  <c r="X94" i="6"/>
  <c r="O10" i="6"/>
  <c r="AA10" i="6" s="1"/>
  <c r="X10" i="6"/>
  <c r="O14" i="6"/>
  <c r="AA14" i="6" s="1"/>
  <c r="N29" i="6"/>
  <c r="Z29" i="6" s="1"/>
  <c r="O20" i="6"/>
  <c r="AA20" i="6" s="1"/>
  <c r="N65" i="6"/>
  <c r="X65" i="6"/>
  <c r="O60" i="6"/>
  <c r="X60" i="6"/>
  <c r="N50" i="6"/>
  <c r="X50" i="6"/>
  <c r="X49" i="6"/>
  <c r="N89" i="6"/>
  <c r="Z89" i="6" s="1"/>
  <c r="X89" i="6"/>
  <c r="N93" i="6"/>
  <c r="X93" i="6"/>
  <c r="N32" i="6"/>
  <c r="Z32" i="6" s="1"/>
  <c r="X32" i="6"/>
  <c r="O58" i="6"/>
  <c r="X74" i="6"/>
  <c r="N33" i="6"/>
  <c r="Z33" i="6" s="1"/>
  <c r="X33" i="6"/>
  <c r="O32" i="6"/>
  <c r="O26" i="6"/>
  <c r="AA26" i="6" s="1"/>
  <c r="O69" i="6"/>
  <c r="X69" i="6"/>
  <c r="N87" i="6"/>
  <c r="X87" i="6"/>
  <c r="N78" i="6"/>
  <c r="X78" i="6"/>
  <c r="O53" i="6"/>
  <c r="AA53" i="6" s="1"/>
  <c r="X53" i="6"/>
  <c r="X71" i="6"/>
  <c r="X67" i="6"/>
  <c r="X95" i="6"/>
  <c r="X85" i="6"/>
  <c r="X19" i="6"/>
  <c r="F4" i="11" l="1"/>
  <c r="G4" i="11" s="1"/>
  <c r="F9" i="11"/>
  <c r="G9" i="11" s="1"/>
  <c r="F11" i="11"/>
  <c r="G11" i="11" s="1"/>
  <c r="F10" i="11"/>
  <c r="G10" i="11" s="1"/>
  <c r="F7" i="11"/>
  <c r="G7" i="11" s="1"/>
  <c r="F12" i="11"/>
  <c r="G12" i="11" s="1"/>
  <c r="F5" i="11"/>
  <c r="G5" i="11" s="1"/>
  <c r="F21" i="11"/>
  <c r="G21" i="11" s="1"/>
  <c r="F22" i="11"/>
  <c r="G22" i="11" s="1"/>
  <c r="F27" i="11"/>
  <c r="G27" i="11" s="1"/>
  <c r="F20" i="11"/>
  <c r="G20" i="11" s="1"/>
  <c r="F23" i="11"/>
  <c r="G23" i="11" s="1"/>
  <c r="F24" i="11"/>
  <c r="G24" i="11" s="1"/>
  <c r="F25" i="11"/>
  <c r="G25" i="11" s="1"/>
  <c r="F26" i="11"/>
  <c r="G26" i="11" s="1"/>
  <c r="AD10" i="6"/>
  <c r="AD11" i="6"/>
  <c r="AD18" i="6"/>
  <c r="AD62" i="6"/>
  <c r="AD89" i="6"/>
  <c r="R89" i="6"/>
  <c r="AD31" i="6"/>
  <c r="AD33" i="6"/>
  <c r="AD30" i="6"/>
  <c r="AD27" i="6"/>
  <c r="R34" i="6"/>
  <c r="AD86" i="6"/>
  <c r="AD29" i="6"/>
  <c r="AD34" i="6"/>
  <c r="AD56" i="6"/>
  <c r="AD44" i="6"/>
  <c r="R41" i="6"/>
  <c r="AD72" i="6"/>
  <c r="AD41" i="6"/>
  <c r="AD57" i="6"/>
  <c r="AD15" i="6"/>
  <c r="AD20" i="6"/>
  <c r="AD53" i="6"/>
  <c r="R59" i="6"/>
  <c r="AA59" i="6"/>
  <c r="AD59" i="6" s="1"/>
  <c r="R39" i="6"/>
  <c r="AA39" i="6"/>
  <c r="AD39" i="6" s="1"/>
  <c r="R67" i="6"/>
  <c r="Z67" i="6"/>
  <c r="AD67" i="6" s="1"/>
  <c r="R87" i="6"/>
  <c r="Z87" i="6"/>
  <c r="AD87" i="6" s="1"/>
  <c r="R50" i="6"/>
  <c r="Z50" i="6"/>
  <c r="AD50" i="6" s="1"/>
  <c r="R65" i="6"/>
  <c r="Z65" i="6"/>
  <c r="AD65" i="6" s="1"/>
  <c r="R28" i="6"/>
  <c r="Z28" i="6"/>
  <c r="AD28" i="6" s="1"/>
  <c r="R79" i="6"/>
  <c r="AA79" i="6"/>
  <c r="AD79" i="6" s="1"/>
  <c r="R38" i="6"/>
  <c r="Z38" i="6"/>
  <c r="AD38" i="6" s="1"/>
  <c r="R90" i="6"/>
  <c r="AA90" i="6"/>
  <c r="AD90" i="6" s="1"/>
  <c r="R12" i="6"/>
  <c r="Z12" i="6"/>
  <c r="AD12" i="6" s="1"/>
  <c r="R45" i="6"/>
  <c r="Z45" i="6"/>
  <c r="AD45" i="6" s="1"/>
  <c r="R14" i="6"/>
  <c r="Z14" i="6"/>
  <c r="AD14" i="6" s="1"/>
  <c r="R54" i="6"/>
  <c r="AA54" i="6"/>
  <c r="AD54" i="6" s="1"/>
  <c r="R69" i="6"/>
  <c r="AA69" i="6"/>
  <c r="AD69" i="6" s="1"/>
  <c r="R60" i="6"/>
  <c r="AA60" i="6"/>
  <c r="AD60" i="6" s="1"/>
  <c r="R43" i="6"/>
  <c r="Z43" i="6"/>
  <c r="AD43" i="6" s="1"/>
  <c r="R49" i="6"/>
  <c r="Z49" i="6"/>
  <c r="AD49" i="6" s="1"/>
  <c r="R55" i="6"/>
  <c r="AA55" i="6"/>
  <c r="AD55" i="6" s="1"/>
  <c r="R21" i="6"/>
  <c r="AA21" i="6"/>
  <c r="AD21" i="6" s="1"/>
  <c r="R92" i="6"/>
  <c r="AA92" i="6"/>
  <c r="AD92" i="6" s="1"/>
  <c r="R77" i="6"/>
  <c r="Z77" i="6"/>
  <c r="AD77" i="6" s="1"/>
  <c r="R32" i="6"/>
  <c r="AA32" i="6"/>
  <c r="AD32" i="6" s="1"/>
  <c r="R81" i="6"/>
  <c r="AA81" i="6"/>
  <c r="AD81" i="6" s="1"/>
  <c r="R58" i="6"/>
  <c r="AA58" i="6"/>
  <c r="AD58" i="6" s="1"/>
  <c r="R70" i="6"/>
  <c r="AA70" i="6"/>
  <c r="AD70" i="6" s="1"/>
  <c r="R95" i="6"/>
  <c r="Z95" i="6"/>
  <c r="AD95" i="6" s="1"/>
  <c r="R93" i="6"/>
  <c r="Z93" i="6"/>
  <c r="AD93" i="6" s="1"/>
  <c r="R80" i="6"/>
  <c r="AA80" i="6"/>
  <c r="AD80" i="6" s="1"/>
  <c r="R40" i="6"/>
  <c r="Z40" i="6"/>
  <c r="AD40" i="6" s="1"/>
  <c r="R94" i="6"/>
  <c r="Z94" i="6"/>
  <c r="AD94" i="6" s="1"/>
  <c r="R78" i="6"/>
  <c r="Z78" i="6"/>
  <c r="AD78" i="6" s="1"/>
  <c r="R46" i="6"/>
  <c r="AA46" i="6"/>
  <c r="AD46" i="6" s="1"/>
  <c r="R26" i="6"/>
  <c r="Z26" i="6"/>
  <c r="AD26" i="6" s="1"/>
  <c r="R76" i="6"/>
  <c r="AA76" i="6"/>
  <c r="AD76" i="6" s="1"/>
  <c r="X62" i="6"/>
  <c r="R86" i="6"/>
  <c r="R62" i="6"/>
  <c r="R33" i="6"/>
  <c r="X72" i="6"/>
  <c r="R11" i="6"/>
  <c r="R72" i="6"/>
  <c r="X31" i="6"/>
  <c r="R18" i="6"/>
  <c r="R31" i="6"/>
  <c r="X56" i="6"/>
  <c r="R53" i="6"/>
  <c r="R20" i="6"/>
  <c r="R56" i="6"/>
  <c r="R30" i="6"/>
  <c r="X59" i="6"/>
  <c r="X54" i="6"/>
  <c r="X29" i="6"/>
  <c r="R15" i="6"/>
  <c r="R29" i="6"/>
  <c r="R57" i="6"/>
  <c r="R27" i="6"/>
  <c r="R44" i="6"/>
  <c r="R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tc={8DBCAA0B-00E3-4D88-A525-C9B8EC1AE4A6}</author>
  </authors>
  <commentList>
    <comment ref="N1" authorId="0" shapeId="0" xr:uid="{8DBCAA0B-00E3-4D88-A525-C9B8EC1AE4A6}">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documentos para determinar el grado e avance.
Si está completo colocar 90% que significa que está listo para aprobación.</t>
      </text>
    </comment>
  </commentList>
</comments>
</file>

<file path=xl/sharedStrings.xml><?xml version="1.0" encoding="utf-8"?>
<sst xmlns="http://schemas.openxmlformats.org/spreadsheetml/2006/main" count="1796" uniqueCount="758">
  <si>
    <t>Estimador de HC en base a S0</t>
  </si>
  <si>
    <t>Elaborado por: Javier Soto</t>
  </si>
  <si>
    <t>Fecha de creación: 20.08.2024</t>
  </si>
  <si>
    <t>Versión del documento : V01</t>
  </si>
  <si>
    <t>La estimación está orientada a consultoría funcional. No incluye estimación de asignación de gerente de proyecto, gerente de consultoría, arquitecto, líder ABAP, roles y perfiles. También se basa en que los consultores tienen un nivel de experiencia adecuado( &gt; 8 años aprox.). Asímismo, se debe estimar por separado la fase deploy en base a otras variables propias del cliente. Igualmente con la fase RUN en base al acuerdo comercial de soporte que se requiera.</t>
  </si>
  <si>
    <r>
      <rPr>
        <b/>
        <sz val="11"/>
        <color rgb="FF000000"/>
        <rFont val="Calibri"/>
        <scheme val="minor"/>
      </rPr>
      <t xml:space="preserve">Tipos de procesos:
</t>
    </r>
    <r>
      <rPr>
        <sz val="11"/>
        <color rgb="FF000000"/>
        <rFont val="Calibri"/>
        <scheme val="minor"/>
      </rPr>
      <t xml:space="preserve">La estimación se basa en las diferentes actividades que se realizan en las fase del proyecto dependiedo del tipo de proceso. Tenemos definido los tipos de proceso: </t>
    </r>
  </si>
  <si>
    <r>
      <rPr>
        <b/>
        <sz val="11"/>
        <color rgb="FF000000"/>
        <rFont val="Calibri"/>
        <scheme val="minor"/>
      </rPr>
      <t xml:space="preserve">Estructura organizativa:
</t>
    </r>
    <r>
      <rPr>
        <sz val="11"/>
        <color rgb="FF000000"/>
        <rFont val="Calibri"/>
        <scheme val="minor"/>
      </rPr>
      <t xml:space="preserve">  Explicación de estructura organizativa.
  Definición de información necesaria para la EO(Anexo)
  Desarrollo de BPD.
  Configuración.</t>
    </r>
  </si>
  <si>
    <r>
      <rPr>
        <b/>
        <sz val="11"/>
        <color rgb="FF000000"/>
        <rFont val="Calibri"/>
        <scheme val="minor"/>
      </rPr>
      <t xml:space="preserve">Datos maestros:
</t>
    </r>
    <r>
      <rPr>
        <sz val="11"/>
        <color rgb="FF000000"/>
        <rFont val="Calibri"/>
        <scheme val="minor"/>
      </rPr>
      <t xml:space="preserve">  Explicación del dato maestros.
  Desarrollo de BPD.
  Definición de campos a configurar en dato maestros(Anexos)
  Inventariar estructura de carga masiva
  Explorar proceso de carga masiva en Migration Cockpits
  Soporte a los procesos de carga para pruebas.
  Soporte a los procesos de carga para PRD.</t>
    </r>
  </si>
  <si>
    <r>
      <rPr>
        <b/>
        <sz val="11"/>
        <color rgb="FF000000"/>
        <rFont val="Calibri"/>
        <scheme val="minor"/>
      </rPr>
      <t xml:space="preserve">Proceso:
</t>
    </r>
    <r>
      <rPr>
        <sz val="11"/>
        <color rgb="FF000000"/>
        <rFont val="Calibri"/>
        <scheme val="minor"/>
      </rPr>
      <t xml:space="preserve">  Explicación del proceso.
  Explicación del diagrama de flujo.
  Preparación de datos para taller de demostración.
  Taller de demostración en sistema.
  Desarrollo de BPD.
  Definiciones de configuraciones en Anexos.
  Integración con otros frentes.
  Revisión de Roles
  Definición de escenarios de negocio para pruebas.
  Configuración.
  Pruebas internas de consultoría.
  Documentación de consultoría.
  Pruebas unitarias.
  Pruebas integrales.
  CutOver para proceso.
  Soporte de incidencias.</t>
    </r>
  </si>
  <si>
    <r>
      <rPr>
        <b/>
        <sz val="11"/>
        <color rgb="FF000000"/>
        <rFont val="Calibri"/>
        <scheme val="minor"/>
      </rPr>
      <t xml:space="preserve">Reportes:
</t>
    </r>
    <r>
      <rPr>
        <sz val="11"/>
        <color rgb="FF000000"/>
        <rFont val="Calibri"/>
        <scheme val="minor"/>
      </rPr>
      <t xml:space="preserve">  Taller de demostración de reportes.
  Integración con otros frentes.
  Revisión de Roles.
  Creación de variantes. 
  Navegación en SAPGUI / Fiori</t>
    </r>
  </si>
  <si>
    <t>Grado de adopción:</t>
  </si>
  <si>
    <t>Asimismo, se debe indicar el grado de adopción de cada proceso para mejorar la estimación en base al QUAD-A</t>
  </si>
  <si>
    <r>
      <rPr>
        <b/>
        <sz val="11"/>
        <color rgb="FF000000"/>
        <rFont val="Calibri"/>
        <scheme val="minor"/>
      </rPr>
      <t>01 Adoptar:</t>
    </r>
    <r>
      <rPr>
        <sz val="11"/>
        <color rgb="FF000000"/>
        <rFont val="Calibri"/>
        <scheme val="minor"/>
      </rPr>
      <t xml:space="preserve"> El proceso se implementa adoptando lo estipulado en el BPD y configurando los anexos indicados dentro del alcance de escenarios base descritos y exclusiones.</t>
    </r>
  </si>
  <si>
    <r>
      <rPr>
        <b/>
        <sz val="11"/>
        <color rgb="FF000000"/>
        <rFont val="Calibri"/>
        <scheme val="minor"/>
      </rPr>
      <t>02 Ajustar:</t>
    </r>
    <r>
      <rPr>
        <sz val="11"/>
        <color rgb="FF000000"/>
        <rFont val="Calibri"/>
        <scheme val="minor"/>
      </rPr>
      <t xml:space="preserve"> El proceso se puede implementar con la funcionalidad estándar pero requiere de configuración adicional para cubrir escenarios de negocio descritos por ejemplo en un RFP. También se puede implementar dicho proceso soportado por desarrollos: Badis, user exits, validaciones, sustituciones, ajustes de formularios, campos adicionales a reportes o apps estándares.</t>
    </r>
  </si>
  <si>
    <r>
      <rPr>
        <b/>
        <sz val="11"/>
        <color rgb="FF000000"/>
        <rFont val="Calibri"/>
        <scheme val="minor"/>
      </rPr>
      <t>03 Agregar:</t>
    </r>
    <r>
      <rPr>
        <sz val="11"/>
        <color rgb="FF000000"/>
        <rFont val="Calibri"/>
        <scheme val="minor"/>
      </rPr>
      <t xml:space="preserve"> El proceso se puede implementar con funcionalidad creada a la medida. Puede requerir configuración, pero el proceso básicamente es un desarrollo o el core del proceso necesita un desarrollo.</t>
    </r>
  </si>
  <si>
    <r>
      <rPr>
        <b/>
        <sz val="11"/>
        <color rgb="FF000000"/>
        <rFont val="Calibri"/>
        <scheme val="minor"/>
      </rPr>
      <t>04 Abstener:</t>
    </r>
    <r>
      <rPr>
        <sz val="11"/>
        <color rgb="FF000000"/>
        <rFont val="Calibri"/>
        <scheme val="minor"/>
      </rPr>
      <t xml:space="preserve"> El proceso no se debe implementar.</t>
    </r>
  </si>
  <si>
    <t>Grado de complejidad</t>
  </si>
  <si>
    <t>Se debe indicar la complejidad estimada de cada proceso en base al levantamiento de información que se realice. Se puede indicar:</t>
  </si>
  <si>
    <r>
      <rPr>
        <b/>
        <sz val="11"/>
        <color rgb="FF000000"/>
        <rFont val="Calibri"/>
        <scheme val="minor"/>
      </rPr>
      <t>01 Baja:</t>
    </r>
    <r>
      <rPr>
        <sz val="11"/>
        <color rgb="FF000000"/>
        <rFont val="Calibri"/>
        <scheme val="minor"/>
      </rPr>
      <t xml:space="preserve"> Pocos registros, pocos escenarios de pruebas, baja frecuencia de uso.</t>
    </r>
  </si>
  <si>
    <r>
      <rPr>
        <b/>
        <sz val="11"/>
        <color rgb="FF000000"/>
        <rFont val="Calibri"/>
        <scheme val="minor"/>
      </rPr>
      <t xml:space="preserve">02 Media: </t>
    </r>
    <r>
      <rPr>
        <sz val="11"/>
        <color rgb="FF000000"/>
        <rFont val="Calibri"/>
        <scheme val="minor"/>
      </rPr>
      <t>Existen más registros o muchas unidades organizativas a crear</t>
    </r>
  </si>
  <si>
    <r>
      <rPr>
        <b/>
        <sz val="11"/>
        <color rgb="FF000000"/>
        <rFont val="Calibri"/>
        <scheme val="minor"/>
      </rPr>
      <t>03 Alta:</t>
    </r>
    <r>
      <rPr>
        <sz val="11"/>
        <color rgb="FF000000"/>
        <rFont val="Calibri"/>
        <scheme val="minor"/>
      </rPr>
      <t xml:space="preserve"> Existe un alto volumende registros a crear. Existen muchas variantes o escenarios de prueba. Las plantillas de carga masiva tienen muchas pestañas y campos a completar.</t>
    </r>
  </si>
  <si>
    <r>
      <rPr>
        <b/>
        <sz val="11"/>
        <color rgb="FF000000"/>
        <rFont val="Calibri"/>
        <scheme val="minor"/>
      </rPr>
      <t>04 Muy alta:</t>
    </r>
    <r>
      <rPr>
        <sz val="11"/>
        <color rgb="FF000000"/>
        <rFont val="Calibri"/>
        <scheme val="minor"/>
      </rPr>
      <t xml:space="preserve"> Existen muchos registros, muchas variantes y está asociado a desarrollo.</t>
    </r>
  </si>
  <si>
    <t>SEIDOR SprintZero V1.0</t>
  </si>
  <si>
    <t>Tipo</t>
  </si>
  <si>
    <t>Descripción</t>
  </si>
  <si>
    <t>T. Descubrimiento</t>
  </si>
  <si>
    <t>T. Preparación Inicial</t>
  </si>
  <si>
    <t>T. Exploración</t>
  </si>
  <si>
    <t>T. Realización</t>
  </si>
  <si>
    <t>T. Despliegue</t>
  </si>
  <si>
    <t>T. Soporte</t>
  </si>
  <si>
    <t>DM</t>
  </si>
  <si>
    <t>Explicación del dato maestros.
Desarrollo de BPD.
Definición de campos a configurar en dato maestros(Anexos)
Inventariar estructura de carga masiva
Explorar proceso de carga masiva en Migration Cockpits
Soporte a los procesos de carga para pruebas.
Soporte a los procesos de carga para PRD.</t>
  </si>
  <si>
    <t>EO</t>
  </si>
  <si>
    <t>Explicación de estructura organizativa.
Definición de información necesaria para la EO(Anexo)
Desarrollo de BPD.
Configuración.</t>
  </si>
  <si>
    <t>Revisado por: Javier Soto Castillo</t>
  </si>
  <si>
    <t>Line of Business</t>
  </si>
  <si>
    <t>Responsable</t>
  </si>
  <si>
    <t>Módulos</t>
  </si>
  <si>
    <t>RICEF</t>
  </si>
  <si>
    <t>Fase</t>
  </si>
  <si>
    <t>PR</t>
  </si>
  <si>
    <t>Explicación del proceso.
Explicación del diagrama de flujo.
Preparación de datos para taller de demostración.
Taller de demostración en sistema.
Desarrollo de BPD.
Definiciones de configuraciones en Anexos.
Integración con otros frentes.
Revisión de Roles
Definición de escenarios de negocio para pruebas.
Configuración.
Pruebas internas de consultoría.
Documentación de consultoría.
Pruebas unitarias.
Pruebas integrales.
CutOver para proceso.
Soporte de incidencias.</t>
  </si>
  <si>
    <t>Manufactura</t>
  </si>
  <si>
    <t>Javier Soto</t>
  </si>
  <si>
    <t>PP</t>
  </si>
  <si>
    <t>Report</t>
  </si>
  <si>
    <t>Proyecto</t>
  </si>
  <si>
    <t>RE</t>
  </si>
  <si>
    <t>Taller de demostración de reportes.
Integración con otros frentes.
Revisión de Roles.
Creación de variantes. 
Navegación en SAPGUI / Fiori</t>
  </si>
  <si>
    <t>Listado de procesos: Contiene todos los procesos configurados.</t>
  </si>
  <si>
    <t>Gestión de activos</t>
  </si>
  <si>
    <t>Santiago Sánchez</t>
  </si>
  <si>
    <t>QM</t>
  </si>
  <si>
    <t>Interface</t>
  </si>
  <si>
    <t>Soporte</t>
  </si>
  <si>
    <t>Listado de RICEF: Contiene todos los RICEF creados.</t>
  </si>
  <si>
    <t>Finanzas</t>
  </si>
  <si>
    <t>Yvan Montero</t>
  </si>
  <si>
    <t>PM</t>
  </si>
  <si>
    <t>Conversion</t>
  </si>
  <si>
    <t>Ventas</t>
  </si>
  <si>
    <t>FI</t>
  </si>
  <si>
    <t>Enhacenment</t>
  </si>
  <si>
    <t>Abastecimiento y compras</t>
  </si>
  <si>
    <t>Luis</t>
  </si>
  <si>
    <t>CO</t>
  </si>
  <si>
    <t>Forms</t>
  </si>
  <si>
    <t>Cadena de suministro</t>
  </si>
  <si>
    <t>MM</t>
  </si>
  <si>
    <t>WorkFlows</t>
  </si>
  <si>
    <t>EWM</t>
  </si>
  <si>
    <t>Estado</t>
  </si>
  <si>
    <t>WM</t>
  </si>
  <si>
    <t>00 Nuevo</t>
  </si>
  <si>
    <t>01 Documentado</t>
  </si>
  <si>
    <t>PS</t>
  </si>
  <si>
    <t>02 Configurado</t>
  </si>
  <si>
    <t>SD</t>
  </si>
  <si>
    <t>03 Probado</t>
  </si>
  <si>
    <t>HCM</t>
  </si>
  <si>
    <t>04 Terminado</t>
  </si>
  <si>
    <t>99 Obsoleto</t>
  </si>
  <si>
    <t>MAXIMO</t>
  </si>
  <si>
    <t>MINIMO</t>
  </si>
  <si>
    <t>Complejidad</t>
  </si>
  <si>
    <t>Factor</t>
  </si>
  <si>
    <t>01 Baja</t>
  </si>
  <si>
    <t>02 Media</t>
  </si>
  <si>
    <t>03 Alta</t>
  </si>
  <si>
    <t>04 Muy Alta</t>
  </si>
  <si>
    <t>QUAD-A</t>
  </si>
  <si>
    <t>01 Adoptar</t>
  </si>
  <si>
    <t>02 Ajustar</t>
  </si>
  <si>
    <t>03 Agregar</t>
  </si>
  <si>
    <t>04 Abstener</t>
  </si>
  <si>
    <t>#Registros</t>
  </si>
  <si>
    <t>01 &lt; 0     : 100   &gt;</t>
  </si>
  <si>
    <t>02 &lt;100 : 1K     &gt;</t>
  </si>
  <si>
    <t>03 &lt;1K   : 10K   &gt;</t>
  </si>
  <si>
    <t>04 &lt;10K : 100K &gt;</t>
  </si>
  <si>
    <t>#Usuarios</t>
  </si>
  <si>
    <t>01 &lt;1  : 10 &gt;</t>
  </si>
  <si>
    <t>02 &lt;10 : 25 &gt;</t>
  </si>
  <si>
    <t>03 &lt;25 : 60 &gt;</t>
  </si>
  <si>
    <t>04 &lt;60 : 100&gt;</t>
  </si>
  <si>
    <t>05 &lt;100 : 200&gt;</t>
  </si>
  <si>
    <t>RICEFW</t>
  </si>
  <si>
    <t>01 Reporte</t>
  </si>
  <si>
    <t>02 Interface</t>
  </si>
  <si>
    <t>03 Conversión</t>
  </si>
  <si>
    <t>04 Mejora</t>
  </si>
  <si>
    <t>05 Formulario</t>
  </si>
  <si>
    <t>06 Workflow</t>
  </si>
  <si>
    <t>07 BTP</t>
  </si>
  <si>
    <t>Prioridad</t>
  </si>
  <si>
    <t>01 Listo para PI</t>
  </si>
  <si>
    <t>02 Listo para Go-live</t>
  </si>
  <si>
    <t>03 Listo para 1er Cierre M.</t>
  </si>
  <si>
    <t>04 Listo para cierre Anual</t>
  </si>
  <si>
    <t>05 Listo para otra fase</t>
  </si>
  <si>
    <t>01 Muy baja</t>
  </si>
  <si>
    <t>02 Baja</t>
  </si>
  <si>
    <t>03 Media</t>
  </si>
  <si>
    <t>04 Alta</t>
  </si>
  <si>
    <t>05 Muy Alta</t>
  </si>
  <si>
    <t>Línea de negocio</t>
  </si>
  <si>
    <t>Área de negocio</t>
  </si>
  <si>
    <t>Proceso de negocio</t>
  </si>
  <si>
    <t>SAP S/4HANA BP</t>
  </si>
  <si>
    <t>Actividades</t>
  </si>
  <si>
    <t>Variantes</t>
  </si>
  <si>
    <t>Exclusiones</t>
  </si>
  <si>
    <t>Mód.</t>
  </si>
  <si>
    <t>BC_SET_S0</t>
  </si>
  <si>
    <t>BC_SET_S0 - Prerequisito</t>
  </si>
  <si>
    <t>Observaciones</t>
  </si>
  <si>
    <t>Anexo BPD</t>
  </si>
  <si>
    <t>Estructuras de carga masiva</t>
  </si>
  <si>
    <t>TA</t>
  </si>
  <si>
    <t>TP</t>
  </si>
  <si>
    <t>Discovery</t>
  </si>
  <si>
    <t>Prepare</t>
  </si>
  <si>
    <t>Explore</t>
  </si>
  <si>
    <t>Realize</t>
  </si>
  <si>
    <t>Deploy</t>
  </si>
  <si>
    <t>Run</t>
  </si>
  <si>
    <t>CO-00_Estructura organizativa(CO_EO1)</t>
  </si>
  <si>
    <t>Sociedad CO.
Sociedad PA.
Jerarquía de Centros de Beneficio
Jerarquía de Centros de Costos</t>
  </si>
  <si>
    <t>En la estructura SAP representa la vista jurídica u organizativa de una empresa como los niveles de la organización. La misma que, corresponde a un requisito esencial tanto para los datos maestros; como para definir, los procesos esenciales. A través de los objetos de costo en dicha estructura; posteriormente, se realizaran las  contabilizaciones en las cuentas de ingresos y gastos.</t>
  </si>
  <si>
    <t>* No se puede cambiar la moneda CO ni PA luego de tener movimientos</t>
  </si>
  <si>
    <t xml:space="preserve">YS0_S4HANA_EO_001
YS0_S4HANA_EO_C001
</t>
  </si>
  <si>
    <t>Gestión de datos maestros</t>
  </si>
  <si>
    <t>CO-01_Administración de datos maestros de Controlling(CO_M010)</t>
  </si>
  <si>
    <t>J58-00_J58-02</t>
  </si>
  <si>
    <t>Gestión de Centros de Beneficio.
Gestión de Centros de Costos.
Gestión de clases de costo.
Gestión de valores estadísticos.
Gestión de órdenes internas.</t>
  </si>
  <si>
    <t>Corresponden a los datos que contienen información relevante para los procesos de la empresa y se encuentran almacenados de forma centralizada, para evitar redundancias y son empleadas por las diversas aplicaciones. 
En la contabilidad de costos tenemos:
- Centro de beneficio: Es una unidad organizativa de finanzas que refleja una estructura de la empresa orientada hacia la gestión. Se pueden analizar los resultados operativos con la vinculación a las cuentas de resultado.
- Centro de Costos: Es una unidad organizativa de controlling que representa una ubicación delimitada donde se generan los costes.
- Gestión de clases de costo: Este maestro comprenden a las cuentas de resultado que tienen injerencia en la contabilidad de costos interna y que se requieren, para realizar los procesos en controlling.
- Los valores estadísticos representan los drivers o inductores para distribuir los gastos.
- Órdenes internas: Son colectores de costos que permiten acumular costos de eventos específicos, campañas, inversiones, etc.</t>
  </si>
  <si>
    <t>* Crear varios tipos de Ordenes Internas</t>
  </si>
  <si>
    <t xml:space="preserve">* La data maestra luego de tener movimiento no puede ser eliminada
</t>
  </si>
  <si>
    <t>ANEXO_CO01 - Área Funcional
ANEXO_CO02 - Segmento</t>
  </si>
  <si>
    <t>Costos</t>
  </si>
  <si>
    <t>CO-02_Planificación de Ingresos, costos y gastos(CO_P010)</t>
  </si>
  <si>
    <t>1HB</t>
  </si>
  <si>
    <t>Planificación de ingresos, costos y gastos, por centro de beneficio y centro de costos. 
Planificación de órdenes internas.</t>
  </si>
  <si>
    <t>Controlling permite planificar la estructura de costos y gastos de las futuras operaciones de la empresa para períodos determinados y efectuar comparaciones Real / Plan para su control.</t>
  </si>
  <si>
    <t>* Cargar diferentes Versione de planificación
* Copiar de Real a  Versión Plan
* Copiar de Vérsión Plan a Versión  Plan</t>
  </si>
  <si>
    <t>* El cálculo de planificación es por fuera de SAP
* La planificación no es restrictiva solo informativa
* Se puede planificar a nivel de ceco + clase de coste</t>
  </si>
  <si>
    <t>Faltan roles.</t>
  </si>
  <si>
    <t>CO-03_Control de Ingresos, costos y gastos(CO_P020)</t>
  </si>
  <si>
    <t>J54</t>
  </si>
  <si>
    <t xml:space="preserve">Imputación real a cuentas de ingresos, costos y gastos.
Gestión de órdenes internas de gastos y de inversión.
Creación de ciclos de distribución y de subreparto.
</t>
  </si>
  <si>
    <t>Comprende los distintos procesos por los cuales se registran imputaciones reales en las cuentas contables de costos, gastos, ingresos e inversión, ya sea por medio de centros de costos, centros de beneficio u órdenes internas. 
La ordenes internas son objetos de costos que se usan para identificar operaciones específicas y temporales con el fin de facilitar un análisis. Estas se aplican para controlar proyectos, campañas, obras en curso, etc.
Los ciclos de distribución y/o subreparto sirven para distribuir o trasladar los costos de objetos de costos origen a objetos de costos destino. El ciclo de distribución traslada a través de la misma clase de costo, mientras el subreparto requiere de la clase de coste secundaria.</t>
  </si>
  <si>
    <t>* Imputaciones a cecos 
* Imputaciones a diferentes clase de Ordenes ( Inversión,  reales , estadisticas)
* Ciclos de distribución con diferentes metodos ( % , VE, Importe Fijo , etc)
* Ciclos de Subreparto diferentes métodos  ( % , VE , importe Fijo , Etc)</t>
  </si>
  <si>
    <t>* Los Drivers de los ciclos de distribución y subreparto no son automaticos ; si se define que el valor es mensual entonces se debe actualizar .
* Todo objeto de costo con movimiento no puede ser eliminado.</t>
  </si>
  <si>
    <t>CO-04_Análisis de Rentabilidad(CO_P040)</t>
  </si>
  <si>
    <t>J55</t>
  </si>
  <si>
    <t>Definición características CO-PA.
Subreparto de gastos.</t>
  </si>
  <si>
    <t>Es una herramienta que brinda SAP, para ayudar a las empresas a evaluar su rentabilidad mediante sus segmentos de mercado a partir de sus ventas, ganancias/pérdidas e información proveniente de otros módulos como finanzas, ventas y logística. Se tienen características como canal de ventas, línea de negocio, oficina de ventas, cliente, material, etc. dicha información puede ser analizada por periodos, ejercicio.</t>
  </si>
  <si>
    <t>* COPA - Análitico
* COPA - Contable
* Agregar caracteristicas Z*
* Agregar caracteristicas despues de la activación de COPA
* Ciclos de Subreparto de PA
* Ejecución del TOP- DOW</t>
  </si>
  <si>
    <t>* COPA - Análitico ; existe la posibilidad que no cuadre exacto con la contabilidad ya que se usa para gestión 
* Los drivers del ciclo de subreparto no son automaticos .</t>
  </si>
  <si>
    <t>Faltan roles. No hay flujo</t>
  </si>
  <si>
    <t>CO-05_Reportes de Análisis(CO_P050)</t>
  </si>
  <si>
    <t>4RC</t>
  </si>
  <si>
    <t>Reportes de Rentabilidad.
Elaboración de reportes de gestión.
Elaboración de estados financieros internos.</t>
  </si>
  <si>
    <t xml:space="preserve">Se refiere a los reportes de gastos por centros de costos, reportes de márgenes (por sociedad, unidad de  negocio, etc.) y de estados financieros internos, por medio de la herramienta Report Painter. </t>
  </si>
  <si>
    <t>* Los reportes son Report Writer no se pueden transformar en ALV</t>
  </si>
  <si>
    <t>Cierre contable y financiero</t>
  </si>
  <si>
    <t>CO-06_Cierre de Controlling(CO_P060)</t>
  </si>
  <si>
    <t>J54  /  BEV</t>
  </si>
  <si>
    <t>Análisis de ingresos en centros de beneficio.
Análisis de costos y gastos en centros de costo y órdenes.
Liquidación de ordenes internas.
Ejecución de Distribución / Subreparto de gasto.</t>
  </si>
  <si>
    <t>En el cierre de Controlling, se tienen los siguientes eventos:
- Análisis de ingresos en centros de beneficio: El proceso de análisis de los ingresos debe ser periodico durante el mes.
- Análisis de costos y gastos en centros de costo y órdenes: El proceso de análisis de los costos y gastos deben ser periodicos durante el mes.
- Liquidación de las ordenes internas: Las ordenes son acumuladores de gasto temporales por lo que en el cierre del periodo se debe realizar el proceso de liquidación con el objetivo que queden en cero.
- Ejecución de distribución / subreparto de gasto: Este proceso comprende a las distribuciones de gastos operativos entre las unidades de negocio o según el modelo/criterio que determine la empresa.</t>
  </si>
  <si>
    <t>CO-07_Costos de producción(CO_P030)</t>
  </si>
  <si>
    <t>EWM-00_Estructura organizativa(EWM_EO1)</t>
  </si>
  <si>
    <t>Número de almacén
Tipos de almacén
Áreas de almacenamiento</t>
  </si>
  <si>
    <t xml:space="preserve">Se detallan los niveles en los que se subdivide centro de distribución </t>
  </si>
  <si>
    <t>EWM-01_Administración de Datos Maestros(EWM_M010)</t>
  </si>
  <si>
    <t>Ampliación de materiales:
Indicadores de tipo de almacén
Indicadores de área de almacenamiento</t>
  </si>
  <si>
    <t>Se actualiza la información del material para colocarle los indicadores correspondientes a ingreso y salida.</t>
  </si>
  <si>
    <t>Almacenamianto</t>
  </si>
  <si>
    <t>EWM-02_Procesos de entrada (EWM_P010)</t>
  </si>
  <si>
    <t>1FS</t>
  </si>
  <si>
    <t>Orden de compra o ingreso directo:
Generación de la entrega entrante
Modificación de la entrega/contabilización
Creación de la orden de almacén
Confirmación de de la orden</t>
  </si>
  <si>
    <t>El proceso de ingreso permite brindar soporte a las actividades ejecutadas desde la recepción de la mercadería hasta la colocación de los materiales en la ubicación final</t>
  </si>
  <si>
    <t>- Ingreso por compra
- Ingreso directo sin pedido
- Ingreso por traslado</t>
  </si>
  <si>
    <t>EWM-03_Procesos de salida (EWM_P020)</t>
  </si>
  <si>
    <t>1G2</t>
  </si>
  <si>
    <t>Pedido de venta o salida directa:
Generación de la entrega de salida
Creación de la orden de almacén
Confirmación de de la orden
Contabilización de la entrega de salida</t>
  </si>
  <si>
    <t>El proceso de salida permite brindar soporte a las actividades ejecutadas desde la extracción de la recepción de la mercadería hasta la colocación de los materiales en la ubicación final</t>
  </si>
  <si>
    <t>-Salida por venta
-Salida por consumo directo
-Salida por traslado</t>
  </si>
  <si>
    <t>EWM-04_Procesos internos (EWM_P030)</t>
  </si>
  <si>
    <t>1V5</t>
  </si>
  <si>
    <t>Cambio de ubicación individual
Cambio de ubicaión masivo
Cambio de tipo de stock</t>
  </si>
  <si>
    <t>Los procesos dentro del almacén pueden ser mapeados a detalle en el sistema para reflejar los cambios de ubicación y/o tipos de stock</t>
  </si>
  <si>
    <t>-Cambio de ubicación individual
-Cambio de ubicación masivo
-Cambio de tipo de stock</t>
  </si>
  <si>
    <t>EWM-05_Inventario (EWM_P040)</t>
  </si>
  <si>
    <t>1V7</t>
  </si>
  <si>
    <t>Toma de inventario por material
Toma de inventario por ubicación</t>
  </si>
  <si>
    <t>Proceso de conteo de materiales y/o ubicaciones con mayor precisión</t>
  </si>
  <si>
    <t>-Toma de inventario por material sin diferencia
-Tomoa de inventario por ubicación con diferencia</t>
  </si>
  <si>
    <t>FI-00_Estructura Organizativa(FI_EO1)</t>
  </si>
  <si>
    <t>Sociedad FI
Variante de ejercicio
Variante de periodos
Plan de cuentas
Clase de cuentas
Definición de monedas
Clases de documentos
Claves de contabilización
Documento financiero
Tipo de cambio
Ledgers paralelos
Sociedad GL</t>
  </si>
  <si>
    <t xml:space="preserve">La estructura organizativa representa la vista jurídica u organizativa de la empresa y corresponde a un requisito esencial tanto para la determinación de los datos maestros, como para los procesos a definir en la empresa.
Asi mismo, abarca la definción de conceptos escenciales para dar soporte a los procesos contables. Por ejemplo, conceptos como: las Clases de documento, variante de ejercicio, variante de periodos, Claves de contabiización y otros. </t>
  </si>
  <si>
    <t>- Las Sociedades FI pueden estar sujetas a alguna caracteristicas desde su creación por ejemplo:
        a) Plan de Cuentas Operativo y Plan de Cuentas País   ( Se define en Base a la Sociedad Matriz o Grupo )</t>
  </si>
  <si>
    <t>"Revalorización en modena extranjera" Caso que se generea ingreso o gasto que de manera automática se imputa a un cebe o ceco.</t>
  </si>
  <si>
    <t>ANEXO_FI01 - Clases de documentos</t>
  </si>
  <si>
    <t>FI-01_Maestro de Contabilidad General(FI_M010)</t>
  </si>
  <si>
    <t>J58-01</t>
  </si>
  <si>
    <t>Plan de cuentas Operativo
-Segmento de Plan de Cuentas
-Segmento de Sociedad
Reportes</t>
  </si>
  <si>
    <t>El maestro del Plan de Cuentas, agrupa la totalidad de las cuentas de mayor de la organización. En SAP, una sociedad puede gestionar tres planes de cuentas:
- Plan de cuentas operativo (es indispensable).
- Plan de cuentas de grupo.
- Plan de cuentas del país</t>
  </si>
  <si>
    <t>1) Manejar en la Sociedad solo con el Plan Contable Operativo ( ejemplo :PCGE )
2) Manejar en la Sociedad Plan Contable Operativo y Alternativo ( ejemplo : CAPE (Opeativo ) y Alternativo PCGE  ( Local )
3) Opcional manejar Plan de Cuenta Grupo</t>
  </si>
  <si>
    <t>Faltan app y roles</t>
  </si>
  <si>
    <t>MC_FI_M010 - Plan de cuentas</t>
  </si>
  <si>
    <t>FI-02_Maestro de Activos Fijos(FI_M020)</t>
  </si>
  <si>
    <t>J62-01</t>
  </si>
  <si>
    <t>Maestro de Activos Fijos</t>
  </si>
  <si>
    <t>El maestro de activos fijos centraliza la administración de los activos fijos mediante la creación y mantenimiento de códigos únicos de AF. Bajos los cuales se contabilizan las altas, bajas, traslados, depreciación u otras operaciones. Los códigos de activos fijos dan soporte a los procesos de activos fijos y permite un análisis contable por código de activo. </t>
  </si>
  <si>
    <t>1) Manejar diferentes Areas de Valoración para su tratamiento Contable,Tributario o de Revaluaciones
2) Manejar diferentes tipos de Clave de Amortización : Ejemplo Lineal o por Unidades Producidas. 
3) Llevar el control de las Altas, Bajas y traspasos de las diferentes clases de activos dependiendo de sus Vida Utiles</t>
  </si>
  <si>
    <t>YS0_S4HANA_FIAA_001</t>
  </si>
  <si>
    <t>ANEXO_FI06 - Clases de Activos Fijos</t>
  </si>
  <si>
    <t>MC_FI_M020 - Maestro de Activos Fijos</t>
  </si>
  <si>
    <t>Gestión de tesorería</t>
  </si>
  <si>
    <t>FI-03_Maestro de bancos(FI_M030)</t>
  </si>
  <si>
    <t>BFA</t>
  </si>
  <si>
    <t>Maestro de Bancos
Bancos propios
Cuentas bancarias</t>
  </si>
  <si>
    <t xml:space="preserve">Con la gestión de cuentas bancarias el área de tesorería puede centralizar la gestión de cuentas bancarias utilizando los datos maestros de cuentas bancarias. </t>
  </si>
  <si>
    <t>1) Crear Bancos País 
2) Crear Bancos Propios
3) Crear Cuentas Bancarias de Bancos Propios.</t>
  </si>
  <si>
    <t>ANEXO_FI07 - Bancos propios y cuentas bancarias
ANEXO_FI09 - Claves de bancos</t>
  </si>
  <si>
    <t>MC_FI_M030 - Maestro de bancos</t>
  </si>
  <si>
    <t>Contabilidad</t>
  </si>
  <si>
    <t>FI-04_Contabilidad General(FI_P010)</t>
  </si>
  <si>
    <t>J58-03
J58-04</t>
  </si>
  <si>
    <t>Registro de Asientos de Diario
Registro de Asientos de provisiones
Asientos periódicos
Anulación de registros
Desglose de documentos
Reportes</t>
  </si>
  <si>
    <t xml:space="preserve">En SAP S/4HANA este proceso proporciona soporte a la gestión de la información financiera referida a la evaluación y generación de los reportes de resultados y de cuentas de balance. Por lo que, permite la emisión de documentos de contabilidad general, como asientos diarios o asientos periódicos. </t>
  </si>
  <si>
    <t>1) Provisiones y Extornos   ( Afectos o Inafectos )  
2) Reclasificaciones
2) Asientos Periodicos por concepto de Alquileres
3) Anulaciones de documentos.</t>
  </si>
  <si>
    <t>Operaciones financieras</t>
  </si>
  <si>
    <t>FI-05_Cuentas por Pagar(FI_P020)</t>
  </si>
  <si>
    <t>J60</t>
  </si>
  <si>
    <t>Maestro de Interlocutor Comercial (Acreedores o Proveedores)
Registro de Facturas y otros Comprobantes de Proveedor
- Registro de Comprobantes por Finanzas (FI)
- Registro de Comprobantes Con Orden de Compra (MM)
Indicadores de impuestos Compras
Percepciones por compra
Registro de Comprobantes de Importación de bienes
Registro de IGV no domiciliado
Solicitudes de Anticipo Acreedor
Retenciones en la factura
- Detracciones de IGV
- Retenciones no Domiciliados
- Retenciones dietas
Retenciones en el pago
- Retenciones de IGV
- Retenciones de 4ta categoría
Anulación de Registro
Registros preliminares
Cuenta de mayor especial (CME)
Compensaciones
- Con anticipos
- Con N/D y N/C
- Canje de letras
- Factura Negociable
o	Factoring
o	Compensación Deudor/Acreedor
o	Anulación de compensación
Reportes</t>
  </si>
  <si>
    <t xml:space="preserve">El proceso de cuentas por pagar comprende básicamente la contabilidad en acreedores producto de las operaciones de adquisición de bienes o servicios que generen una obligación de pago. 
Los acreedores cuentan con un código único en el maestro de Business Partner bajo el cual se registran sus operaciones y permiten el análisis auxiliar por cuenta acreedora. 
Así mismo se contabilizan facturas y abonos, se registran pagos y anticipos, se gestionan los valores entregados como medios de pago y al contabilizar datos en acreedores, el sistema crea un documento contable y transfiere los datos introducidos al libro mayor y según corresponda al Libro de Compras. </t>
  </si>
  <si>
    <t>1)  Registro de Comprobantes por Finanzas ( Todos los documentos SUNAT )
2) Registro de Comprobantes usando los diferentes tipos de Indicadores de Impuestos.
3) Registro de FActura de No Domiciliado , Provisión IGV No Domiciliado y Extorno provisión IGV
4) Registro de Formulario de Declaración - pago o Boleta de pago de tributos Internos 
5) Generar Solicitudes de Anticipo y su respectiva Contabilización.
6) Anulaciones de Registros o Comprobantes
7) Creación de documentos preliminares antes de su contabilización
8) Redireccionamiento de Cuentas a través del uso del CME 
9) Compensaciones Parciales o Totales de la cuentas por pagar.  Letras, Factura Negociable y Facttoring
10) Compensaciones entre Deudores(CXC) y Acreedores ( CXP)
11) Descompesación de documentos de pago</t>
  </si>
  <si>
    <t>Los indicadores de impuestos están asociado al IGV. No está considerado otro tipo de impuesto como ISC, impuestos especiales de sectores industriales, FISE, Rodamiento, impuestos a los plásticos, etc</t>
  </si>
  <si>
    <r>
      <rPr>
        <sz val="9"/>
        <color rgb="FFFF0000"/>
        <rFont val="Arial"/>
      </rPr>
      <t xml:space="preserve">ANEXO_FI05 - CME
</t>
    </r>
    <r>
      <rPr>
        <sz val="9"/>
        <color rgb="FF000000"/>
        <rFont val="Arial"/>
      </rPr>
      <t>ANEXO_FI10 - Retenciones</t>
    </r>
  </si>
  <si>
    <t>FI-06_Otras Cuentas por Pagar(FI_P021)</t>
  </si>
  <si>
    <t>Registro de otras Cuentas por Pagar (Prestamos con terceros o vinculadas, Pagares, Financiamientos, Cuotas de Leasing)
Impuestos
Caja Chica 
- Constitución de Caja Chica por medio de anticipo.
- Registro de Facturas y otros Comprobantes de Proveedor
- Liquidación de documentos
- Reposición de Caja Chica
Entregas a Rendir 
- Solicitud (anticipo) 
- Registro de Salidas a Rendir (Pago a colaborador)
- Registro de facturas
- Liquidación de Gastos
Desembolsos
- Registro de facturas por pagar
- Compensación de facturas por pagar contra cuenta por pagar al trabajador
- Reposición al trabajador
Tarjetas de crédito empresariales
- Registro de facturas por pagar
- Compensación de comprobantes de pago contra cuenta de tarjetas de crédito
- Registro de cuenta tarjetas de crédito contra cuenta bancos
Reportes</t>
  </si>
  <si>
    <t>El proceso de Otras cuentas por pagar abarca el registro en acreedores de operaciones no core de negocio. Tales como financiamientos, impuestos, entredas a rendir, caja chica.</t>
  </si>
  <si>
    <t>1)  Generar documentos por Préstamos a Terceros o Vinculadas 
2) Generar documentos por Obligaciones Bancarias ( Pagarés ); incluyendo sus amortizaciones y cancelaciones
3) Generar documentos por Financiamientos con Bancos;  incluyendo sus amortizaciones y cancelaciones.
4) Registros de Cuotas de Leasing ( Devengamiento incluyendo Intereses ).
5) Registar los impuestos por Pagar ( IGV) contra la SUNAT.
6) Registro, liquidación y reposición Caja Chica 
7) Permite registrar Solicitud de Entregas a Rendir, registros de comprobantes y liquidación.
8) Registrar Desembolsos a Empleados por gestionar compras menores a nombre de la Empresa. Registrar comprobante y reposición del dinero al Empleado.
9) Permitir liquidaciones de tarjetas de crédito empresarial contra los comprobantes incurridos.</t>
  </si>
  <si>
    <t>ANEXO_FI05 - CME</t>
  </si>
  <si>
    <t>FI-07_Pago a Proveedores(FI_P022)</t>
  </si>
  <si>
    <t>J60-05
J60-06</t>
  </si>
  <si>
    <t>Anticipo a Proveedores
Pago Individuales y Masivos
- Con nota de crédito (aplicación)
- Con Cheque 
- Con Transferencia Electrónica
- Pagos Interbancarios
Pago de Planillas de RRHH
Pagos Parciales
Retenciones en el pago
Anulación de pagos
Vías de pago
Bloqueos de pago
Condición de pago
Reportes</t>
  </si>
  <si>
    <t>El proceso de pago a proveedores abarca los diferentes mecanismos y condiciones que el modulo FI ofrece para contabilzar los pagos sobre los registros previamente generados en el proceso de cuentas por pagar.</t>
  </si>
  <si>
    <t>1) Generar Solicitudes de Anticipos para la Caja Chica, Entregas a Rendir y Anticipos a Terceros
2) Pagos Individuales o Masivos a Proveedores. Aplicando pagos parciales o totales.
3) Registrar documentos que estan sujetos a Retenciones sea en el documento o en el Pago ( Localización )
4) Registrar las anulaciones de las compensaciones por los documentos de pago.</t>
  </si>
  <si>
    <t>ANEXO_FI08 - Condiciones de pago</t>
  </si>
  <si>
    <t>FI-08_Cuentas Por Cobrar(FI_P030)</t>
  </si>
  <si>
    <t>J59</t>
  </si>
  <si>
    <t>Maestro de Interlocutor Comercial (Deudores o Clientes)
Registro de Facturas y otros Comprobantes de Clientes
- Registro de Comprobantes por Finanzas (FI)
- Registro de Comprobantes Con Pedido Venta(SD)
Indicadores de impuestos Ventas
Percepciones Venta
Registro de Comprobantes de Importación de bienes
Registro de IGV no domiciliado
Solicitudes de Anticipo Acreedor
Retenciones en la factura
- Detracciones de IGV
- Retenciones no Domiciliados
- Retenciones dietas
Retenciones en el pago
- Retenciones de IGV
- Retenciones de 4ta categoría
Anulación de Registro
Registros preliminares
Cuenta de mayor especial (CME)
Compensaciones
- Con anticipos
- Con N/D y N/C
- Canje de letras
- Factura Negociable
o	Factoring
o	Compensación Deudor/Acreedor
o	Anulación de compensación
Reportes</t>
  </si>
  <si>
    <t xml:space="preserve">El proceso de cuentas por cobrar comprende básicamente la contabilidad en deudores producto de las operaciones de venta de bienes o servicios que generen una obligación de cobro.
Los clientes cuentan con un código único en el maestro de Business Partner bajo el cual se registran sus operaciones y permiten el análisis auxiliar por cuenta deudora. </t>
  </si>
  <si>
    <t>1) Registrar Comprobantes de Ventas por FI ( Facturas , Notas de Crédito y Débito ) con sus indicadores de IVA
2) Registrar Provisiones de Ingresos por FI
3) Registrar documentos por Provisión de Cobranza Dudosa
4) Registrar préstamos entre Empresas Vinculadas o Terceros
5) Registro de Otras de Cuentas por Cobrar Diversas 
6) Registrar Retenciones en la cuentas por Cobrar en el momento de la contabilización de la factura ( Localización ). Manejando Percepción de Venta y Detracción de Venta.
7) Anulación del documento de venta generado 
9) Compensación de Partidas Deudoras, Anticipos, Notas de Crédito y Débito.
10) Compensación de Deudores con Acreedores
11) Anulación o descompnesación de documentos de cobro.</t>
  </si>
  <si>
    <t>Tesoreria</t>
  </si>
  <si>
    <t>FI-09_Gestión de Tesorería(FI_P040)</t>
  </si>
  <si>
    <t>4X8</t>
  </si>
  <si>
    <t>Operaciones de Tesorería
- Transferencia entre Cuentas
- Compra/Venta de Divisas
Reportes</t>
  </si>
  <si>
    <t>La Gestión de Tesorería, abarca el registro de las operaciones propias a la administración de los fondos de la empresa.</t>
  </si>
  <si>
    <t xml:space="preserve">
1) Gestionar Transferencia Bancarias 
2) Registrar Compra / Venta de Divisas 
3) Cobranzas</t>
  </si>
  <si>
    <t>FI-10_Gestión de Activos Fijos(FI_P050)</t>
  </si>
  <si>
    <t>J62</t>
  </si>
  <si>
    <t>Alta de Activos Fijos
- Por Compra directa
- Por Adquisición bajo arrendamiento financiero. 
- Por liquidación de obra en curso 
Traslados
Baja de Activos Fijos
- Por venta
- Por desguace
Activos mantenidos para la venta
Revaluación y Desvalorización
Depreciación
Operaciones de Cierre Anual
Reportes</t>
  </si>
  <si>
    <t>Este proceso comprende las diferentes operaciones contables que se registran sobre los activos fijos. Así mismo, abarca la reportería para el análisis contable de los activos fijos.</t>
  </si>
  <si>
    <t xml:space="preserve">1) Alta de Activos por Compras o Liquidaciones de Activos en Curso.
2) Alta de Activos por Arrendamiento Financiero desde FI.
3) Traspasos de Activos 
4) Bajas de Activos:  Baja por Desguace / Baja por Venta 
5) Revaluaciones de Activos Fijos
6) Ejecución de las Depreciaciones
7) Cambio de Ejercicio y Cierre de Ejercicio de Activos Fijos </t>
  </si>
  <si>
    <t>FI-11_Cierre Contable(FI_P100)</t>
  </si>
  <si>
    <t>Proceso de Cierre de Mes
- Registro de documentos
- Apertura y Cierre de Períodos contables
- Desplazamiento de periodo logístico
- Anulación de documentos FI
- Análisis y Compensación de cuentas
- Conciliación bancaria
- Valoración de Moneda Extranjera 
- Traslación 
- Liquidación de AFeC
- Depreciación/Amortización de activos fijos o intangibles
Proceso de Cierre de Año
- Arrastre de Saldos Anual
- Cierre de ejercicio de Activos Fijos
Estados Financieros y libros oficiales
Reportes</t>
  </si>
  <si>
    <t>Este proceso se encuentra constituido por las actividades que permiten cerrar las operaciones necesarias del día, mes y del ejercicio. Para ello, el sistema ofrece un conjunto de programas que permiten ejecutar los procesos de cierre y hacer análisis a través reportes de resultados y de cuentas balance.</t>
  </si>
  <si>
    <t>1) Apertura y Cierre periodos contables( Variante de Ejercicio FI)
2)  Desplazamiento de Periodo Logistico. 
3) Compensaciones Manuales o Automaticas de Cuentas de Mayor
4) Conciliación Banacaria  ( Localización )
5) Valoración de Moneda Extranjera  ( Ejemplo: USD a PEN )
6) Traslasión Moneda Local   ( Ejemplo PEN a USD )
7) Liquidación de Activos FIjo en Curso
8) Ejecución de la Depreciaión del mes correspondiente.
9) Arrastre de Saldos que incluye la apertura del nuevo ejercicio para Activos Fijos.
10) Cierre de Ejercicio de Activos Fijos
11) Reporteria Balance General o Report Painters
12) Libros Electrónicos SUNAT ( Localización Z)</t>
  </si>
  <si>
    <t>Operaciones financieras avanzadas</t>
  </si>
  <si>
    <t>FI-12_Gestión de Créditos(SD_P070)</t>
  </si>
  <si>
    <t>BD6</t>
  </si>
  <si>
    <t>Área de control de crédito
Segmento de crédito 
Asignación de la línea de crédito 
Consumo de la línea de crédito
Reportes</t>
  </si>
  <si>
    <t>Corresponden a los datos que contienen información relevante para la gestión de créditos,  funcionalidades para su seguimiento y control.
Si la empresa trabaja con líneas de crédito para los clientes, se determina en que procesos de venta aplica este proceso. Al realizar el pedido de venta se verifica si hay deuda vencida y si el pedido sobrepasa la línea de crédito asignada.</t>
  </si>
  <si>
    <t xml:space="preserve">Venta Nacional con límite de crédito excedido.
Venta Exportación con partidas abiertas vencidas.
Venta Servicios con suficiente línea de crédito.
</t>
  </si>
  <si>
    <t>YS0_S4HANA_SD_001
YS0_S4HANA_SD_C001</t>
  </si>
  <si>
    <t>Falta establecer el flujo adecuado para el proceso, transacciones en el paso a paso del BPD</t>
  </si>
  <si>
    <t>MM-00_Estructura organizativa(MM_EO1)</t>
  </si>
  <si>
    <t>Sociedad
Organización de Compra
Grupo de Compra
Centros
Almacén</t>
  </si>
  <si>
    <t>En la estructura SAP S/4HANA se representa la vista jurídica u organizativa de una empresa como los niveles de la organización. La determinación de dichos niveles constituye la Estructura Organizativa y corresponde, a un requisito escencial tanto para la determinación de los datos maestros como para los procesos a definir en la empresa.</t>
  </si>
  <si>
    <t>MM-01_Maestro de materiales(MM_M010)</t>
  </si>
  <si>
    <t>Niveles de organización
Agrupación de Materiales
Gestión de Valoración
Vistas de Información
- Datos básicos
- Datos de compras
- Datos de ventas
- Datos de planificación
- Datos de centro/almacén
- Datos contables
Reportes</t>
  </si>
  <si>
    <t>En SAP S/4HANA el maestro de materiales es el más importante repositorio de información base para todos los procesos logísticos y de gestión de stocks. Aquí se administran todos los datos de los materiales gestionados por la organización. El maestro de materiales está estructurado en “vistas” o pestañas de datos. Cada vista contiene campos específicos relacionados a un área funcional o proceso de negocio. Si a un material no se le ha completado correctamente las vistas vinculadas a un proceso, este material no podrá ser utilizado en dichos procesos. </t>
  </si>
  <si>
    <t xml:space="preserve">Tipo de Material: 
-Mercadería 
-Materia Prima 
-Material no valorado 
-Suministros 
-Embalajes 
-Producto semielaborado 
-Producto Terminado 
-Material Servicios 
</t>
  </si>
  <si>
    <t>Se excluye campos no mencionados en el BPD.</t>
  </si>
  <si>
    <t>Deacuerdo a las best practice de SAP, el maestro de servicios (Tx. AC01/AC02/AC03) se reemplazará por la utilización del tipo de material ‘SERV‘ para los servicios que se compran y venden.</t>
  </si>
  <si>
    <r>
      <rPr>
        <sz val="9"/>
        <color rgb="FF000000"/>
        <rFont val="Arial"/>
      </rPr>
      <t xml:space="preserve">ANEXO_MM01 - Grupo de artículos
</t>
    </r>
    <r>
      <rPr>
        <sz val="9"/>
        <color rgb="FFFF0000"/>
        <rFont val="Arial"/>
      </rPr>
      <t xml:space="preserve">ANEXO_MM02 - Categoría de valoración
</t>
    </r>
    <r>
      <rPr>
        <sz val="9"/>
        <color rgb="FF000000"/>
        <rFont val="Arial"/>
      </rPr>
      <t xml:space="preserve">ANEXO_MM03 - Planificadores de necesidad
ANEXO_MM05 - Jerarquía de productos
</t>
    </r>
    <r>
      <rPr>
        <sz val="9"/>
        <color rgb="FFFF0000"/>
        <rFont val="Arial"/>
      </rPr>
      <t>ANEXO_MM08 - OBYC</t>
    </r>
  </si>
  <si>
    <t>MC_MM_M010 - Maestro de materiales</t>
  </si>
  <si>
    <t>MM-03_Datos maestros de compras(MM_M020)</t>
  </si>
  <si>
    <t>Creación de condiciones.
Creación de registros info</t>
  </si>
  <si>
    <t>Las condiciones son los acuerdos que se tienen con los proveedores sobre precios, recargos, descuentos, etc. Las cuales pueden ser empleados por los documentos logísticos.
Los registros info relacionan la información de los materiales con los proveedores como acuerdos comerciales.</t>
  </si>
  <si>
    <r>
      <rPr>
        <b/>
        <sz val="9"/>
        <color rgb="FF000000"/>
        <rFont val="Arial"/>
      </rPr>
      <t>Precios:</t>
    </r>
    <r>
      <rPr>
        <sz val="9"/>
        <color rgb="FF000000"/>
        <rFont val="Arial"/>
      </rPr>
      <t xml:space="preserve"> manual o de registro info
</t>
    </r>
    <r>
      <rPr>
        <b/>
        <sz val="9"/>
        <color rgb="FF000000"/>
        <rFont val="Arial"/>
      </rPr>
      <t>Descuentos</t>
    </r>
    <r>
      <rPr>
        <sz val="9"/>
        <color rgb="FF000000"/>
        <rFont val="Arial"/>
      </rPr>
      <t xml:space="preserve">: fijos y porcentual
</t>
    </r>
    <r>
      <rPr>
        <b/>
        <sz val="9"/>
        <color rgb="FF000000"/>
        <rFont val="Arial"/>
      </rPr>
      <t>Recargos:</t>
    </r>
    <r>
      <rPr>
        <sz val="9"/>
        <color rgb="FF000000"/>
        <rFont val="Arial"/>
      </rPr>
      <t xml:space="preserve"> fijo y porcentual. 
</t>
    </r>
    <r>
      <rPr>
        <b/>
        <sz val="9"/>
        <color rgb="FF000000"/>
        <rFont val="Arial"/>
      </rPr>
      <t>Impuestos :</t>
    </r>
    <r>
      <rPr>
        <sz val="9"/>
        <color rgb="FF000000"/>
        <rFont val="Arial"/>
      </rPr>
      <t xml:space="preserve"> IGV
</t>
    </r>
    <r>
      <rPr>
        <b/>
        <sz val="9"/>
        <color rgb="FF000000"/>
        <rFont val="Arial"/>
      </rPr>
      <t>Costos Indirectos :</t>
    </r>
    <r>
      <rPr>
        <sz val="9"/>
        <color rgb="FF000000"/>
        <rFont val="Arial"/>
      </rPr>
      <t xml:space="preserve"> Transporte e instalación.
</t>
    </r>
    <r>
      <rPr>
        <b/>
        <sz val="9"/>
        <color rgb="FF000000"/>
        <rFont val="Arial"/>
      </rPr>
      <t xml:space="preserve">Importaciones: </t>
    </r>
    <r>
      <rPr>
        <sz val="9"/>
        <color rgb="FF000000"/>
        <rFont val="Arial"/>
      </rPr>
      <t>comisiones agente de aduana fijo y %, flete, seguro,%advalorem,almacenaje, transporte, estiba, cuadrilla, gasto portuario, vistos buenos, servicios logísticos, gastos administrativos, Instalación.
Se utiliza para compras nacionales e importadas.</t>
    </r>
  </si>
  <si>
    <t>Se excluye variaciones o lógicas especiales para los esquemas de cálculos o condiciones definidos en el BPD.</t>
  </si>
  <si>
    <t>YS0_S4HANA_BP_001
YS0_S4HANA_MM_001</t>
  </si>
  <si>
    <t>MC_MM_M030_Registro de condiciones
MC_MM_M040_Registros info</t>
  </si>
  <si>
    <t>Operaciones de compras</t>
  </si>
  <si>
    <t>MM-10_Compras de stock(MM_P050)</t>
  </si>
  <si>
    <t>J45</t>
  </si>
  <si>
    <t>Generación de Solicitud de Pedido
Liberación de Solicitud de Pedido
Generación de Pedido de Compra
Liberación de Pedido de Compra
Envío de formato de pedido de compra al proveedor. 
Entrada de Mercadería
Registro de Facturas
Reportes</t>
  </si>
  <si>
    <t>Este proceso en SAP permite brindar soporte al Proceso de Abastecimiento de Proveedores Locales o extranjeros para la adquisición de existencias de una empresa.  Cabe mencionar que, para los procesos definidos en SAP, las existencias son aquellas que: 
- Emplean un código de material, que contará con gestión de cantidad y valor.
- El ingreso de dicho material es contabilizado en ctas. de existencias.</t>
  </si>
  <si>
    <t>-Compras asociadas a contratos por valor afectos a IGV
-Compras asociadas a contratos por importe inafectos a IGV.
-Compras sin estrategias de liberación con retenciones.
-Compras con estrategia de liberación con detracciones.
-Compras con descuentos, recargos, costos indirectos,afectos y no afectos al IGV.
-Compras con posiciones gratuitas
-Entregas parciales.
-Facturación parcial.
-Anulación de entrega.
-Anulación de factura.
-Compras locales e importaciones.</t>
  </si>
  <si>
    <t>No se usa planes de entrega.
No se utiliza entregas entrantes ni confirmaciones de OC.</t>
  </si>
  <si>
    <t>YS0_S4HANA_MM_001</t>
  </si>
  <si>
    <t>Las transacciones de petición de ofertas y ofertas están obsoletas. Hay que volver a configurar el proceso basado en las nuevas prácticas de SAP a través de apps creadas para este fin.</t>
  </si>
  <si>
    <t>MC_MM_P051_Pedidos</t>
  </si>
  <si>
    <t>S0_B001_00_010</t>
  </si>
  <si>
    <t>MM-11_Compra de servicios(MM_P051)</t>
  </si>
  <si>
    <t>22Z</t>
  </si>
  <si>
    <t>Generación de Solicitud de Pedido
Liberación de Solicitud de Pedido
Generación de Pedido de Abierto
Liberación de Pedido Abierto
Generación de Pedido de Compra
Liberación de Pedido de Compra
Envío de formato de pedido de compra al proveedor. 
Entrada de Mercadería
Registro de Facturas
Reportes</t>
  </si>
  <si>
    <t>Este proceso de compras utiliza solicitudes de pedido o directamente órdenes de compra. Se realiza el flujo de compras con aprobaciones de órdenes de compra, hoja de entrada de servicio y registro de la factura. A diferencia de las compras de stock, este proceso requiere de una imputación en las solicitudes de pedidos u órdenes de compra ya que los importes son registrados directamente en el gasto ya que no se requiere tenerlos en cuentas de inventario.</t>
  </si>
  <si>
    <t>MM-12_Compras de consumibles(MM_P051)</t>
  </si>
  <si>
    <t>BNX
18J</t>
  </si>
  <si>
    <t>Tipos de Imputación
- Centro de Costo
- Orden CO
Compra de Bienes 
- Generación de Solicitud de Pedido
- Liberación de Solicitud de Pedido
- Generación de Pedido de Compra
- Liberación de Pedido de Compra
- Envío de formato de pedido de compra al proveedor. 
- Entrada de Mercadería
- Registro de Facturas
Reportes</t>
  </si>
  <si>
    <t>Este proceso de compras utiliza solicitudes de pedido o directamente órdenes de compra. Se realiza el flujo de compras con aprobaciones de órdenes de compra, ingresos de mercadería al almacén y registro de la factura. A diferencia de las compras de stock, este proceso requiere de una imputación en las solicitudes de pedidos u órdenes de compra ya que los importes son registrados directamente en el gasto ya que no se requiere tenerlos en cuentas de inventario. Este proceso está orientado a compra de materiales que no forman parte del core del negocio pero que son requeridos para la gestión y están dentro del presupuesto anual de la compañía como por ejemplo la compra de útiles de economato, activos fijos, etc. </t>
  </si>
  <si>
    <t>-Compras  de material no valorado imputados a varios centro de costos.
-Compras de suministro imputadas a una orden CO.
-Compras imputadas a un activo fijo.
-Compras de servicios imputada a un centro de costos.
-Imputación U.(Desconocida).</t>
  </si>
  <si>
    <t>Las transacciones de petición de ofertas y ofertas están obsoletas. Hay que volver a configurar el proceso basado en las nuevas prácticas de SAP a través de apps creadas para este fin.
SAP indica que debemos usar materiales SERV para servicios, eso implica que va a ser obsoleto el uso de las HES?</t>
  </si>
  <si>
    <t>Abastecimiento y gestión de contratos</t>
  </si>
  <si>
    <t>MM-13_Compras con contratos(MM_P052)</t>
  </si>
  <si>
    <t>BMD</t>
  </si>
  <si>
    <t>Generación de Solicitud de Pedido
Generación de Pedido de Abierto 
Liberación de Pedido Abierto 
Generación de Pedido de Compra
Entrada de mercancía
Registro de Factura del Proveedor Extranjero de la Orden de Compra 
Registro de Facturas de Costos Indirectos
Reportes</t>
  </si>
  <si>
    <t>Este proceso de compras se utiliza para tener mayor predictibilidad en el abastecimiento ya que previamente se puede negociar con los proveedores volúmenes importantes de compras a lo largo de un periodo determinado logrando mejores condiciones de cumplimiento por parte del proveedor. El proceso inicia con una solicitud de pedido que contienen el volumen total del requerimiento, en base a este volumen se negocia un contrato con el proveedor. El gerente de compra aprueba la formulación del contrato. Luego todas las solicitudes de compra pueden usar las condiciones comerciales negociadas en los contratos generados hasta agotar el volumen negociado con el proveedor.  Los contratos también se pueden usar para procesos de abastecimiento que involucran importación.</t>
  </si>
  <si>
    <t>Compra con pedido abierto asociado a solped con condiciones de importación:
- Comisiones agente de aduana fijo y %.
- Flete.
- Seguro.
- %advalorem.
- Almacenaje, transporte, estiba, cuadrilla, gasto portuario, vistos buenos, servicios logísticos, gastos administrativos, Instalación.</t>
  </si>
  <si>
    <t>Sin gestión de stock en operadores logísticos</t>
  </si>
  <si>
    <t>MM-14_Consignaciones(MM_P053)</t>
  </si>
  <si>
    <t>2LG</t>
  </si>
  <si>
    <t>Generación de Solicitud de Pedido de Consignación
Generación o actualización de registro Info por consignación
Generación de Pedido de Compra por consignación
Liberación de Pedido de compra de consignación
Generación de Formulario de Orden de Compra al proveedor
Entrada de Mercadería a consignación
Traspaso de Consignación a libre utilización (stock propio)
Toma de Materiales en Consignación
Liquidación de materiales en consignación tomados
Reportes</t>
  </si>
  <si>
    <t>Este proceso conserva las consideraciones del Proceso de Compra Nacional mencionada anteriormente y se le suman las siguientes particularidades: 
1.	El proveedor suministra los materiales (artículos en consignación) y la empresa que realiza la adquisición, los guarda en sus almacenes o bodegas. Sin embargo, el proveedor queda como el propietario legal del material hasta que sean tomado.
2.	Para el pago de la factura, se realizan cortes periódicos coordinados entre el proveedor y la empresa que realiza la adquisición o compra, para identificar cual ha sido el consumo a la fecha y realizar el pago, en función de un precio, previamente acordado antes de realizar el consumo.
3.	SAP permite a través de sus reportes, identificar el material que se encuentra en estado consignado y controlar, una vez pase al stock propio.
Obs. Este modelo, legalmente conlleva a presentar al estado un libro de consignación. Generalmente utilizado en empresas que consumen combustibles a gran escala.</t>
  </si>
  <si>
    <t xml:space="preserve"> - Proceso de consignación de proveedor simple: Generación de solicitud de compra, generación de pedido de compra, entrada de mercadería a consignación, toma de materiales y liquidación. </t>
  </si>
  <si>
    <t>MM-15_Subcontratación(MM_P054)</t>
  </si>
  <si>
    <t>BMY</t>
  </si>
  <si>
    <t>Generación de la Solicitud de Pedido
Liberación de la Solicitud de Pedido
Generación o actualización de registro Info por subcontratación
Generación de Pedido de Subcontratación
Liberación del Pedido de subcontratación
Generación de Formulario de Compra al proveedor
Entrega de componentes a Proveedor por Subcontratación (Emisión de guía de remisión)
Entrada de Mercadería del producto final
Registro de Factura
Reportes</t>
  </si>
  <si>
    <t>Este proceso conserva las consideraciones del Proceso de Compra Nacional mencionada anteriormente y se le suman las siguientes particularidades:
1.	Durante el proceso de compra, el proveedor puede recibir todos o una parte de los componentes, con los que fabricará o ensamblará para poder abastecer con un producto final. 
2.	SAP permite optimizar el proceso, armando listas de materiales para que se dé una propuesta automática a los materiales que debemos entregar al proveedor. Si bien el proceso soporta el uso de lista de materiales, debe considerarse el esfuerzo necesario por parte del negocio de crear este dato maestros y darle el mantenimiento adecuado.
3.	SAP cuenta con reportes que permitirán monitorear el material que está siendo entregado al proveedor; así como, controlar el stock del nuevo material una vez se dé el ingreso.</t>
  </si>
  <si>
    <t xml:space="preserve"> - Proceso de subcontratación simple: Los materiales entregados al proveedor salen del mismo centro donde el proveedor entrega el producto procesado.</t>
  </si>
  <si>
    <t xml:space="preserve">Se excluye </t>
  </si>
  <si>
    <t>MM-20_Estrategias de liberación(MM_P030)</t>
  </si>
  <si>
    <t>Estrategias para Solicitud de Pedido
Estrategias para Orden de Compra
Estrategias para Pedido Abierto
Estrategia para Hoja de Entrada de Servicio</t>
  </si>
  <si>
    <t>Esta funcionalidad de SAP S/4HANA permite establecer criterios de aprobación definidos para los documentos de compras y ejecutar las liberaciones desde My Inbox que se puede desplegar en celulares.</t>
  </si>
  <si>
    <t>- Liberación de solicitudes
- Liberación  orden de compra
- Liberación  pedido abierto
- Liberación  de hojas de entrada de servicio.</t>
  </si>
  <si>
    <t xml:space="preserve">1. Se excluye  las notificaciones para liberar los documentos. Esto será en la siguiente versión
2. Se excluye cualquier cambio de lógica adicional al funcionamiento estándar de las estrategias. </t>
  </si>
  <si>
    <t>Debería haber un anexo para la definción de las estrategias</t>
  </si>
  <si>
    <t>ANEXO_MM04 - Solicitante
ANEXO_MM07 - Estrategias de liberación</t>
  </si>
  <si>
    <t>Inventario</t>
  </si>
  <si>
    <t>MM-40_Gestión de Stocks(MM_P060)</t>
  </si>
  <si>
    <t>BMC</t>
  </si>
  <si>
    <t>Entrada de Mercadería
- Por Pedido de Compra
- Por Pedido de Traslado
- Sin Pedido de compra
° Por Carga Inicial
° Entrada sin referencia
Traspasos
- Entre almacenes en un paso 
- Entre almacenes en dos pasos. 
- Cambio tipo de stock
- Cambio de código de material
Traslado con pedido de traslado (entre centros)
- Creación de Pedido de Traslado
- Generación Entrega de Salida
- Generación de la salida de materiales. 
- Registro de Entrada de Mercadería a centro destino
Salidas No Comerciales de Materiales/Mercancías
- Generación de reservas para atención de almacén. 
- Salida por consumo
Devolución a proveedor
- Con pedido de devolución
Desguace (Deterioro, caducidad, obsolescencia, y/o merma
Salida por ventas 
Reportes</t>
  </si>
  <si>
    <t xml:space="preserve">Este proceso contempla todos los movimientos que se puedan realizar con las existencias o material que solo cuenten con gestión de cantidad y se encuentren dentro de los almacenes o bodegas de la empresa y que sean registrado dentro de SAP. Movimientos como:
- Entradas de material.
- Salidas de material no comerciales.
- Traslados planificados o no planificados.
- Traspaso entre materiales.
Entre otros movimientos.
</t>
  </si>
  <si>
    <t xml:space="preserve">- Movientos traspaso entre almacenes de 1 y 2 pasos. 
- Cambio de tipo de stock. 
- Cambio Código de material
- Traslado entre centros con pedido de traslado
- Anulación de documento de material. 
- Devolución a proveedor con pedido de devolución. 
- Salida por deterioro.
- Salidas por reserva a centro de costo.
- Traspaso de lotes. </t>
  </si>
  <si>
    <t>- Determinación de lotes
- Variación del costo del material por traslado de productos.</t>
  </si>
  <si>
    <t>MC_MM_P060 - Gestión de stock - carga inicial</t>
  </si>
  <si>
    <t>MM-50_Gestión de Inventarios(MM_P070)</t>
  </si>
  <si>
    <t>4LU
BML</t>
  </si>
  <si>
    <t>Generación de Documento de inventario
Generación del Formulario de Inventario (Estándar)
Registro del conteo (recuento) de inventario
Generación de listado de diferencias
Contabilización de diferencias
Reportes</t>
  </si>
  <si>
    <t>Este proceso en SAP S/4HANA, permite la toma del inventario de los almacenes de su empresa para el balance. Dicho inventario, puede realizarse tanto para el stock propio como para el stock especial como por ej. el stock en consignación en el cliente, stock externo de artículos en consignación del proveedor o embalaje en préstamo.
Teniendo como premisa que el inventario de cada uno de ellos; es decir, del stock propio y del especial, deben realizarse por separado. Por lo tanto, se deberán crear diferentes documentos de inventarios para la toma de dichos inventarios.</t>
  </si>
  <si>
    <t>Contabilización del conteo (material sujeto a lote).
Contabilización en base a reconteo (material no sujeto a lote).</t>
  </si>
  <si>
    <t xml:space="preserve">Se excluye pruebas de toma de inventario para otro tipo de stock especial. 
Solo stock propio. </t>
  </si>
  <si>
    <t>PM-00_Estructura organizativa(PM_EO)</t>
  </si>
  <si>
    <t>Definición de estructura PM</t>
  </si>
  <si>
    <t>Define el uso del modelo centralizado o descentralizado.</t>
  </si>
  <si>
    <t>Datos maestros de mantenimiento</t>
  </si>
  <si>
    <t>PM-01_Datos maestros de mantenimiento</t>
  </si>
  <si>
    <t>- Catálogos
- Clases y características
- Ubicaciones técnicas
- Equipos
- Puestos de trabajo
- Listas de materiales</t>
  </si>
  <si>
    <t>Describe los datos maestros necesarios para representar las instalaciones industriales dentro del sistema y poder llevar de manera adecuada el seguimiento de las actividades de mantenimiento a nivel de cada activo.</t>
  </si>
  <si>
    <t>Gestión de mantenimiento</t>
  </si>
  <si>
    <t>PM-10_Mantenimiento correctivo(PM_P010)</t>
  </si>
  <si>
    <t>BH1</t>
  </si>
  <si>
    <t>Creación de aviso. Creación de OM. Liberación de OM. Integración con compras. Notificación. Consumo de reservas. Cierre técnico. Cierre comercial</t>
  </si>
  <si>
    <t>Describe el flujo de proceso desde que se reporta un incidente hasta la solución del mismo. Está basado en el aviso de mantenimiento que sirve para documentar el incidente de mantenimiento y la OM que sirve para controlar las operaciones desde el punto de vista de la logística, compras y costos.</t>
  </si>
  <si>
    <t>BH1 / BH2</t>
  </si>
  <si>
    <t>PM-20_Mantenimiento preventivo (PM_P020)</t>
  </si>
  <si>
    <t>BJ2</t>
  </si>
  <si>
    <t>Creación de estrategias.
Creación de hojas de ruta.
Creación de planes de mantenimiento.
Registro de documentos de medición
Programación de plan. Creación de OM. Liberación de OM. Integración con compras. Notificación. Consumo de reservas. Cierre técnico. Cierre comercial</t>
  </si>
  <si>
    <t>Se define las frecuencias necesarias para establecer los mantenimientos preventivos, puede realizarse a través de variables temporales o en base a los contadores de los puntos de medición.
Se define el uso de las hojas de ruta. Estas describen las operaciones de mantenimiento que se deben realizar de acuerdo a las definiciones de negocio o especificaciones de fabricante. Generalmente se usan en conjunto con los planes de mantenimiento preventivo. Se puede asociar de manera diferenciada hojas de ruta para cada equipo o ubicación técnica; sin embargo también es posible asignar una hoja de ruta genérica va varios equipos y ubicaciones técnicas.
Se describe la estrategia y frecuencia sobre la cual se crearán las peticiones de mantenimiento. Se indican diferentes horizontes que permiten anticipar la creación de las OM. Asímismo se tiene una visión de corto y mediano plazo donde se puede evidenciar en adelanto o atraso de mantenimientos en base a la situación actual de las OM y documentos de medición.
Se describe el flujo de proceso desde que se genera una OM preventiva hasta la culminación de todas sus actividades. Está basado en la OM que sirve para controlar las operaciones desde el punto de vista de la logística, compras y costos.</t>
  </si>
  <si>
    <t>Planes de mantenimiento basados en tiempo.
Planes de mantenimiento basados en actividad.</t>
  </si>
  <si>
    <t>PP-00_Estructura organizativa(PP_EO)</t>
  </si>
  <si>
    <t>NA</t>
  </si>
  <si>
    <t>Define las áreas de planificación en caso se plantee la planificación separada de almacenes</t>
  </si>
  <si>
    <t>PP-01_Datos maestros de producción(PP_M010)</t>
  </si>
  <si>
    <t>Creación, modificación y visualización de puestos de trabajo</t>
  </si>
  <si>
    <t>Definición del uso de los puestos de trabajo en entorno de fabricación discreta o repetitiva. Descripción de las principales vistas para la planificación y programación de capacidades, y definición de los inductores de costos de producción</t>
  </si>
  <si>
    <t>Se excluye la planificación detallada PPDS.
Se excluye la integración de HR.</t>
  </si>
  <si>
    <t>YS0_S4HANA_PP_001</t>
  </si>
  <si>
    <t>ANEXO_P2M00 - Resp.Pto.Trabajo</t>
  </si>
  <si>
    <t>MC_PP_M010 - Puestos de trabajo</t>
  </si>
  <si>
    <t>Planificación de producción</t>
  </si>
  <si>
    <t>PP-10_Planificación de producción - MPS</t>
  </si>
  <si>
    <t>BJ5</t>
  </si>
  <si>
    <t>Creación de demanda. Creación de órdenes previsionales. Fijación de órdenes previsionales. Conversión de órdenes previsionales.</t>
  </si>
  <si>
    <t>Definición del proceso de planificación basado en MRP Live. Parte de la creación de las estimaciones o necesidades primaria planificadas a nivel de centro y SKU entendida como demanda restringida. Ejecución de MRP Live para que se propongan las órdenes previsionales y se carguen los puestos de trabajo o recursos con necesidades de capacidad. Se analizan los recursos críticos para priorizar las órdenes a realizarse. Se fijan las órdenes previsionales para evitar que se modificquen con un nuevo proceso MRP Live. Finalmente se convierten en órdenes de faricación o proceso que se entregan a planta para su ejecución.</t>
  </si>
  <si>
    <t>Stock de seguridad estático y dinámico.
Procesos masivos e individuales.
Tamaños de lote exactos y fijos con redondeos.
Cálculo de rechazo de conjunto y componente.</t>
  </si>
  <si>
    <t>No incluye estrategias MTO.
No incluye optimización de la planificación.
No incluye secuenciación PP/DS
No incluye DD-MRP
No incluye MRP predictivo</t>
  </si>
  <si>
    <t>PP-11_Evaluación de capacidades - CRP</t>
  </si>
  <si>
    <t>31L/3LQ</t>
  </si>
  <si>
    <t>Revisiónde cuellos de botella.
Análisis de utilización de los recursos: Sobre cargas y subutilización.</t>
  </si>
  <si>
    <t>Luego del proceso MRP Live, se evaluan los recursos o puestos de trabajo críticos. Se priorizan las órdenes que deben atenderse. Se busca tener una utilización adecuada, el planificador de capacidad debe asignar adecuadamente las órdenes coordinando continuamente con planificación, planta y mantenimiento la disponibilidad de los recursos.</t>
  </si>
  <si>
    <t>PP-12_Planificación de necesidades(MM_P010)</t>
  </si>
  <si>
    <t>J44</t>
  </si>
  <si>
    <t>Definición del método planificación de necesidades 
Verificación / Actualización de datos maestros de planificación
Ejecución de planificación
Verificación de propuesta de abastecimiento
Asignación de fuente de aprovisionamiento
Creación de pedido de compra
Reportes</t>
  </si>
  <si>
    <t>La Planif. De Necesidades corresponde a la funcionalidad que brinda SAP para garantizar la disponibilidad del material; es decir que, se emplea para el aprovisionamiento o la fabricación de las cantidades en el momento oportuno, tanto para necesidades internas como para los requerimientos del área Comercial. Este proceso implica el mantenimiento de datos maestros consistentes, la supervisión de stocks y la propuesta automática del aprovisionamiento para compras y/o producción bajo el análisis del planner de la empresa.</t>
  </si>
  <si>
    <t>Planificación por punto de pedido(VB):
- Con stock de seguridad estático.
- Tamaño de lote hasta stock máximo.
Planificación determinista para compras(PD,P1,PE,P3,P4):
- Con lotes exactos con redondeo y SS estático.
Planificación determinista para traslados(PD,P1,P2,P3,P4):
- Con lotes fijos sin stock de seguridad.</t>
  </si>
  <si>
    <t xml:space="preserve">Se excluye otro tipo de: Planificación, stock de seguridad, y tamaño de lote.  
</t>
  </si>
  <si>
    <t>PP-13_Planificación predictiva MRP</t>
  </si>
  <si>
    <t>4B5</t>
  </si>
  <si>
    <t>Creación de proyecciones de escenarios hipotéticos. Ejecución de pMRP. Análisis de capacidades y cobertura.</t>
  </si>
  <si>
    <t>pMRP permite hacer una ejecución del proceso de planificación e2e de manera simulada para analizar escenarios hipotéticos y poder contar con planes de accion de manera anticipada. Dentro del proceso de S&amp;OP sirve para restringir la demanda consensuada.</t>
  </si>
  <si>
    <t>PP-14_Planificación basada en demanda - DDMRP</t>
  </si>
  <si>
    <t>2QI/1Y2</t>
  </si>
  <si>
    <t>Clasificación de materiales. Posicionamiento de stock. Propuesta de aprovisionamiento.</t>
  </si>
  <si>
    <t>Proceso de planificación orientado a la demanda. Parte de la clasificación de los productos en base a su costo relativo (ABC), variación de consumo (XYZ), leadtime (EFG) uso en lista de materiales (PQR). Posiciona el stock de acuerdo a zonas: Roja(Stock de seguridad), ambar (Punto de pedido) y verde (Stock máximo). Propone la reposición de stock de tal manera que se procura un stock en la zona ambar/verde. Como el comportamiento de un producto varia a lo largo del tiempo, este proceso puede reclasificar fácilmente los productos de manera periódica asegurando siempre un adecuado suministro sin exceso ni ruptura de stock.</t>
  </si>
  <si>
    <t>PP-15_Programación detallada de producción PPDS</t>
  </si>
  <si>
    <t>Ejecución de heurístico. Fijación de órdenes previsionales.</t>
  </si>
  <si>
    <t>Proceso avanzado que permite hacer una nivelaciones de las capacidades de producción en base a métods heurísticos y optimizados. Parte del análisis de las órdenes previsionales creadas por el MRP Live y termina entregando un programa de producción para el corto plazo  balanceado y programado a detalle.</t>
  </si>
  <si>
    <t>Operaciones de manufactura</t>
  </si>
  <si>
    <t>PP-20_Fabricación contra stock - Discreta (PP_P020)</t>
  </si>
  <si>
    <t>Gestión de órdenes de fabricación que se dervian de un plan de producción.Notificación de actividades, consumo de componentes y entrada de mercancía.</t>
  </si>
  <si>
    <t>Definición del flujo de fabricación en entorno de fabricación discreta. Parte desde la creación de la orden de fabricación hasta su cierre técnico. Incluye acividades de liberación, notificación, abastecimiento de almacenes de piso, ingreso de producto. Este proceso puede ser complementado con la planificación de producción. dentro de sus variantes incluye la entrega de subproductos y coproductos secundarios.</t>
  </si>
  <si>
    <t>Fabricación de un producto.
Fabricación de coproductos.
Fabricación de subproductos.
Fabricación de PT y SE
Reprocesos.</t>
  </si>
  <si>
    <t>No incluye embalaje con HU.
No se hace cálculo de componente activo.
No se incluye subcontratación.</t>
  </si>
  <si>
    <t>ANEXO_PP01 - Causas de desviación
ANEXO_PP02 - Responsable de control de producción</t>
  </si>
  <si>
    <t>PP-21_Reprocesos - Discreta (PP_P021)</t>
  </si>
  <si>
    <t>BJN</t>
  </si>
  <si>
    <t>Gestión de órdenes de fabricación. Notificación de actividades, consumo de componentes y entrada de mercancía.</t>
  </si>
  <si>
    <t>Utilización de órdenes diferenciadas para la gestión de reprocesos. Sigue la misma lógica que el procesos de fabricación contra stock. La presima principal es que un producto entra nuevamente a la línea de producción para ser ajustado a los valores de su especificación cuando se ha advertido defectos en el proceso de fabricación. Esto deriva en un sobrecosto.</t>
  </si>
  <si>
    <t>PP-22_Fabricación contra pedido - Discreta (PP_P022)</t>
  </si>
  <si>
    <t>BJE</t>
  </si>
  <si>
    <t>Gestión de órdenes de fabricación que se dervian de un pedido de venta.Notificación de actividades, consumo de componentes y entrada de mercancía.</t>
  </si>
  <si>
    <t>Definición del flujo de fabricación en entorno de fabricación discreta. Parte desde la creación de la orden de fabricación como parte de la integración con el área comercial en la creación del pedido de venta hasta su cierre técnico. Incluye acividades de liberación, notificación, abastecimiento de almacenes de piso, ingreso de producto. Este proceso puede ser complementado con la planificación de producción. dentro de sus variantes incluye la entrega de subproductos y coproductos secundarios.</t>
  </si>
  <si>
    <t>PP-23_Fabricación con co-productos - Discreta (PP_P023)</t>
  </si>
  <si>
    <t>3L7</t>
  </si>
  <si>
    <t>Gestión de órdenes de fabricación que se dervian de un plan de producción de coproductos. Creación de órdenes de los coproductos. Creación de orden combinada.Notificación de actividades, consumo de componentes y entrada de mercancía.</t>
  </si>
  <si>
    <t>Definición del flujo de fabricación en entorno de fabricación discreta. Parte desde la creación de la orden de fabricación de manera individual de cada coproducto como parte de la planificación de producción, luego la creación de la orden combinada para la realización de la operación simultánea de los coproductos. Incluye acividades de liberación, notificación, abastecimiento de almacenes de piso, ingreso de producto. Este proceso puede ser complementado con la planificación de producción. dentro de sus variantes incluye la entrega de subproductos y coproductos secundarios.</t>
  </si>
  <si>
    <t>PP-24_Fabricación con subcontratación (PP_P024)</t>
  </si>
  <si>
    <t>BJK</t>
  </si>
  <si>
    <t>Variante del proceso de fabricación discreta en la que todo o parte de la fabricación se lleva a cabo con un proveedor. Se integra con la logística. A nivel de costo de producción se agrega el servicio de la subcontratación como parte del esquema de costos.</t>
  </si>
  <si>
    <t>PP-30_Fabricación contra stock - Procesos (PP_P030)</t>
  </si>
  <si>
    <t>BJ8</t>
  </si>
  <si>
    <t>Gestión de órdenes de proceso que se derivan de un plan de producción.Notificación de actividades, consumo de componentes y entrada de mercancía.</t>
  </si>
  <si>
    <t xml:space="preserve">Definición del flujo de fabricación en entorno de fabricación por procesos. Parte desde la creación de la orden de proceso hasta su cierre técnico. Incluye cálculo de componente activo, actividades de liberación, notificación, abastecimiento de almacenes de piso, ingreso de producto. Este proceso puede ser complementado con la planificación de producción. dentro de sus variantes incluye la entrega de subproductos y coproductos secundarios. </t>
  </si>
  <si>
    <t>Fabricación de un producto.
Fabricación de coproductos.
Fabricación de subproductos.
Reprocesos.
Fabricación de PT y SE</t>
  </si>
  <si>
    <t>ANEXO_PP01 - Causas de desviación</t>
  </si>
  <si>
    <t>PP-31_Reprocesos - Procesos (PP_P031)</t>
  </si>
  <si>
    <t>Gestión de órdenes de proceso. Notificación de actividades, consumo de componentes y entrada de mercancía.</t>
  </si>
  <si>
    <t>PP-32_Fabricación contra pedido - Procesos (PP_P032)</t>
  </si>
  <si>
    <t>3OK</t>
  </si>
  <si>
    <t>Gestión de órdenes de proceso que se dervian de un pedido de venta.Notificación de actividades, consumo de componentes y entrada de mercancía.</t>
  </si>
  <si>
    <t>Definición del flujo de fabricación en entorno de fabricación por procesos. Parte desde la creación de la orden de proceso como parte de la integración con el área comercial en la creación del pedido de venta hasta su cierre técnico. Incluye acividades de liberación, notificación, abastecimiento de almacenes de piso, ingreso de producto. Este proceso puede ser complementado con la planificación de producción. dentro de sus variantes incluye la entrega de subproductos y coproductos secundarios.</t>
  </si>
  <si>
    <t>PP-40_Fabricación contra Stock - Repetitiva (PP_P040)</t>
  </si>
  <si>
    <t>BJH</t>
  </si>
  <si>
    <t>Gestión de colector de costos. Notificación de actividades, consumo de componentes y entrada de mercancía.</t>
  </si>
  <si>
    <t>Definición del flujo de fabricación en entorno de fabricación repetitiva. Parte desde la creación del colector de costos hasta la notificación de la producción. Incluye notificación, abastecimiento de almacenes de piso, ingreso de producto. Este proceso puede ser complementado con la planificación de producción. dentro de sus variantes incluye la entrega de subproductos. Recomendado para procesos de fabricación de pocos productos y sencillo esquema de planta.</t>
  </si>
  <si>
    <t xml:space="preserve">Fabricación de un producto.
</t>
  </si>
  <si>
    <t>PS-01_Datos Maestros de Proyectos(PS_M010)</t>
  </si>
  <si>
    <t>Definición del uso de los puestos de trabajo en entorno de gestión de proyectos. Descripción de las principales vistas para la planificación y programación de capacidades.</t>
  </si>
  <si>
    <t>Gestión de proyectos</t>
  </si>
  <si>
    <t>PS-02_Planificación detallada del Proyecto(PS_P010)</t>
  </si>
  <si>
    <t xml:space="preserve">Creación de proyecto, creación de elementos PEP en base a la estructura del proyecto. </t>
  </si>
  <si>
    <t>Definición de la estructura de un proyecto. Asignación de perfiles de proyecto que le permite al sistema usar elementos PEP para el control de gastos así como para la ejecución de proyectos de inversión. Establecimiento de las fecha de inicio y fin de las diferentes etaptas, cálcular el costo planeado en base al detalle de materiales y servicios que se vayan a comprar para el proyecto.</t>
  </si>
  <si>
    <t>Proyectos solo de elementos PEP.
Proyectos que incluyen grafos.</t>
  </si>
  <si>
    <t>ANEXO_PS01 - Estructura de proyecto</t>
  </si>
  <si>
    <t>PS-03_Presupuesto de proyectos(PS_P020)</t>
  </si>
  <si>
    <t>Asignación, liberación y devolución de presupuesto asignado a los PEP del proyecto. Control de disponibilidad del presupuesto.</t>
  </si>
  <si>
    <t>Establecer el presupuesto global del proyecto en base a la política de la empresa o en base a los costos planeados del proyecto; permite desagregar el presupuesto a cualquier nivel de la estructura PEP. Permite activar el control de disponibilidad para alertar al planificador cuando el presupuesto esté a un % de su agotamiento y puede impedir que se ejecuten más gastos y comprometidos cuando ya se ha agotado el presupuesto. También permite ampliar el presupuesto con suplementos y hacer traslados de presupuesto entre los diferentes niveles del proyecto.</t>
  </si>
  <si>
    <t>Proyecto de gastos generales - OPEX.
Proyectos de inversión - CAPEX</t>
  </si>
  <si>
    <t>PS-04_Ejecución de proyectos(PS_P030)</t>
  </si>
  <si>
    <t>Imputación de costos a elementos PEP. Notificación de actividades.</t>
  </si>
  <si>
    <t>La ejecución de los proyectos inicia con la liberación del proyecto. Con esto, las diferentes áreas que participan en el proyecto pueden asignar sus actividades a los elementos PEP que les corresponda. Generalmente está integrado a la logística de compras (Compras imputadas) y a la contabilidad dado que en dichas áreas se permiten imputaciones a elementos PEP.</t>
  </si>
  <si>
    <t>PS-05_Cierre tecnico y final(PS_P040)</t>
  </si>
  <si>
    <t>Cierre técnico, liquidación periódica, liquidación total, cierre total de proyectos.</t>
  </si>
  <si>
    <t>Cada cierre de mes, a pesar que no se ha concluido un proyecto, se debe realizar la liquidación para que los costos del proyecto se vena reflejados en el gasto a través de centros de costo o en un activo fijo en curso. Si el proyecto ha concluido, el cierre técnico es la señal para que en la liquidación se realice la liquidación total del proyecto; con la liquidación total se puede proceder al cierre total del proyecto. El cierre total impedirá que se signa contabilizando partidas al proyecto.</t>
  </si>
  <si>
    <t>Liquidaciones contra centros de costo.
Liquidación contra Activos Fijos.
Liquidación con medidas de inversión.
Traslado a AF finales.</t>
  </si>
  <si>
    <t>PS-06_Reporte de proyectos(PS_P050)</t>
  </si>
  <si>
    <t>Seguimiento de proyectos.
Estructura de proyecto.
Seguimiento de avance, presupuesto asignado, comprometido y disponible.
Costo detallado de proyecto.</t>
  </si>
  <si>
    <t>Periódicamente se revisa la salud del proyecto en base al avance que se reporta de manera integrada con las áreas que intervienen en el proyecto. Todo documento imputado al proyecto compromete presupuesto y rebaja la disponibilidad del mismo, asímismo se tiene una trazabilidad de todas las partidas que se han contabilizado al proyecto.</t>
  </si>
  <si>
    <t>No contempla % de avance del proyecto.
No contempla curva S</t>
  </si>
  <si>
    <t>QM-01_Datos maestros de calidad(QM_M010)</t>
  </si>
  <si>
    <t>Catalogos
Características de inspección
Procedimientos de muestreo
Métodos de inspección
Puestos de trabajo
Planes de inspección</t>
  </si>
  <si>
    <t>En SAP S/4HANA la gestión de datos maestros permite a la organización contar con información centralizada y homogénea para realizar los diversos procesos integrados de la empresa. Los datos maestros permiten construir las especificaciones de calidad de los procesos y productos; también permiten registrar los acuerdos de calidad de proveedores. Estos datos sirven para planificar el control de calidad ya que en ellos residen los valores de aceptación de los análisis de las muestras.  </t>
  </si>
  <si>
    <t>Catálogo de características.
Conjuntos de selección</t>
  </si>
  <si>
    <t>YS0_S4HANA_QM_001</t>
  </si>
  <si>
    <t>ANEXO_QM01 - Catálogos QM</t>
  </si>
  <si>
    <t>Control de calidad</t>
  </si>
  <si>
    <t>QM-02_Inspección de calidad en abastecimiento</t>
  </si>
  <si>
    <t>1FM</t>
  </si>
  <si>
    <t>Creación de lote de inspección. Registro de resultados. Decisión de empleo</t>
  </si>
  <si>
    <t>Define el tratamiento de las inspecciones en los procesos de compra. Inicia con la creación del lote de inspección de manera automática cuando en el almacén se hace la recepción de la mercadería. El lote entra al estado de control de calidad. En este estado sólo el área de calidad puede darle un tratamiento. Luego se registran los resultados de las muestras de acuerdo al plan de inspección. Finalmente se registra la decisión de empleo en el que se determina si el lote debe ser liberado, bloqueado o devuelto.</t>
  </si>
  <si>
    <t>Lotes contabilizados en la EM de las órdenes de compra.</t>
  </si>
  <si>
    <t>Inspección adelantada sin EM.</t>
  </si>
  <si>
    <t>QM-03_Gestión de calidad en producción (QM_P060)</t>
  </si>
  <si>
    <t>1E1</t>
  </si>
  <si>
    <t>Define el tratamiento de las inspecciones en producción. Inicia con la creación del lote de inspección de manera automática cuando inicia el proceso productivo. Luego cuando en el almacén se hace la recepción de la mercadería el lote entra al estado de control de calidad, en este estado sólo el área de calidad puede darle un tratamiento. Luego se registran los resultados de las muestras de acuerdo con el plan de inspección. Finalmente se registra la decisión de empleo que determina si el lote debe ser liberado o rechazado. </t>
  </si>
  <si>
    <t>Lotes en proceso.
Lotes terminados.</t>
  </si>
  <si>
    <t>SPC.Gráficas de calidad.</t>
  </si>
  <si>
    <t>QM-04_Gestión de calidad en almacenes (QM_P070)</t>
  </si>
  <si>
    <t>1MR</t>
  </si>
  <si>
    <t>Define el tratamiento de las inspecciones en el almacén. Inicia con la creación del lote de inspección de manera automática cuando ocurren traslados. El lote entra al estado de control de calidad. En este estado sólo el área de calidad puede darle un tratamiento. Luego se registran los resultados de las muestras de acuerdo al plan de inspección. Finalmente se registra la decisión de empleo en el que se determina si el lote debe ser liberado, bloqueado o devuelto.</t>
  </si>
  <si>
    <t>QM-05_Gestión de reclamos a proveedores (QM_P080)</t>
  </si>
  <si>
    <t>2F9</t>
  </si>
  <si>
    <t>Creación, modificación y visualización de avisos de reclamación</t>
  </si>
  <si>
    <t>Proceso de investigación de causa raiz cada vez que ocurre una incidencia de calidad que se atribuye al proveedor. Se crea un aviso de reclamo al proveedor donde se especifica el materia, lote, cantidad, etc. Se documentan las diferentes actividades de seguimiento al incidente y finalmente se cierra el aviso con el resultado de la investigación.</t>
  </si>
  <si>
    <t>QM-06_Gestión de reclamos de clientes (QM_P081)</t>
  </si>
  <si>
    <t>2FA</t>
  </si>
  <si>
    <t>Proceso de investigación de causa raiz cada vez que ocurre una incidencia de calidad que un cliente le atribuye a la empresa. Se crea un aviso de reclamo del cliente donde se especifica el materia, lote, cantidad, etc. Se documentan las diferentes actividades de seguimiento al incidente y finalmente se cierra el aviso con el resultado de la investigación.</t>
  </si>
  <si>
    <t>QM-07_Gestión de reclamos internos (QM_P082)</t>
  </si>
  <si>
    <t>2QP</t>
  </si>
  <si>
    <t>Proceso de investigación de causa raiz cada vez que ocurre una incidencia de calidad que se atribuye a algún proceso interno. Se crea un aviso de reclamo interno donde se especifica el materia, lote, cantidad, etc. Se documentan las diferentes actividades de seguimiento al incidente y finalmente se cierra el aviso con el resultado de la investigación.</t>
  </si>
  <si>
    <t>QM-08_Gestión de no-conformes (QM_P090)</t>
  </si>
  <si>
    <t>2QN</t>
  </si>
  <si>
    <t>Creación de defecto. Uso de método 8D de solución de problemas. Crear tareas.</t>
  </si>
  <si>
    <t>Investigación de defectos con método 8D</t>
  </si>
  <si>
    <t>SD-00_Estructura Organizativa(SD_EO)</t>
  </si>
  <si>
    <t>Organización de Ventas
Canal de Distribución
Sector
Área de ventas
Oficina de Ventas
Área de ventas y oficina
Grupo de Vendedores
Grupo de Vendedores por oficina
Vendedores
Centro 
Puesto de Expedición
Puesto de Expedición por centro</t>
  </si>
  <si>
    <t>En la estructura SAP se representa la vista jurídica u organizativa de una empresa como los niveles de la organización. La determinación de dichos niveles constituye la Estructura Organizativa y corresponde, a un requisito escencial tanto para la determinación de los datos maestros como para los procesos a definir en la empresa.</t>
  </si>
  <si>
    <t>SD-01_Administración de Datos Maestros de Business Partner(SD_M010)</t>
  </si>
  <si>
    <t>Definición de agrupación BP
Funciones interlocutor del Business Partner
Datos interlocutor general
Datos de deudor
Datos de cliente
Datos de proveedor
Datos de acreedor
Business Partner en Fiori</t>
  </si>
  <si>
    <t>Corresponden a los datos que contienen información relevante para los procesos de negocio, los mismos que son almacenados centralmente, para ser empleados y procesados a través de las aplicaciones en SAP. Respecto al maestro de Interlocutor comercial o business partner, contiene información referido al cliente de una empresa.</t>
  </si>
  <si>
    <t xml:space="preserve">Los BP que se pueden crear son:
-BP General
-BP Relacionada(Empresa del mismo grupo)
-BP Colaborador
-BP Centro
-BP Destinatario de Mercadería
-BP Eventual CPD
-BP Contactos
</t>
  </si>
  <si>
    <t>YS0_S4HANA_BP_001</t>
  </si>
  <si>
    <t>MC_SD_M010 - BP Comercial</t>
  </si>
  <si>
    <t>SD-02_Datos Maestros de Precios y Condiciones(SD_M020)</t>
  </si>
  <si>
    <t>BKA</t>
  </si>
  <si>
    <t>Clases de condiciones
Secuencia de acceso 
Esquema de cálculo
Reporte</t>
  </si>
  <si>
    <t>De manera similar a los mencionados anteriormente, almacenan datos de forma centralizada que puede ser empleadas en los procesos comerciales. En este caso, se definen todas las condiciones que representan los acuerdos con los clientes sobre precios, descuentos, entre otras y que pueden ser empleados en los procesos comerciales. Así como, la forma en la que se encontraran estructuradas dichas condiciones en los pedidos de venta.</t>
  </si>
  <si>
    <r>
      <rPr>
        <b/>
        <sz val="9"/>
        <color rgb="FF000000"/>
        <rFont val="Arial"/>
      </rPr>
      <t>Un solo esquema de cálculo que incluye:
Condiciones: P</t>
    </r>
    <r>
      <rPr>
        <sz val="9"/>
        <color rgb="FF000000"/>
        <rFont val="Arial"/>
      </rPr>
      <t xml:space="preserve">recios, descuento fijo, descuento porcentual, recargo fijo, recargo porcentual, descuento por anticipo, IGV %, recargo estadístico x detracción, Retención y costo del producto.
</t>
    </r>
    <r>
      <rPr>
        <b/>
        <sz val="9"/>
        <color rgb="FF000000"/>
        <rFont val="Arial"/>
      </rPr>
      <t xml:space="preserve">Precio:
</t>
    </r>
    <r>
      <rPr>
        <sz val="9"/>
        <color rgb="FF000000"/>
        <rFont val="Arial"/>
      </rPr>
      <t xml:space="preserve">- Organización de ventas / Canal de Distribución / Cliente / Material 
- Organización de ventas / Canal de Distribución / Tipo lista /Moneda/ Material 
- Organización de ventas / Canal de Distribución / Material 
</t>
    </r>
    <r>
      <rPr>
        <b/>
        <sz val="9"/>
        <color rgb="FF000000"/>
        <rFont val="Arial"/>
      </rPr>
      <t>Descuentos:</t>
    </r>
    <r>
      <rPr>
        <sz val="9"/>
        <color rgb="FF000000"/>
        <rFont val="Arial"/>
      </rPr>
      <t xml:space="preserve"> 
</t>
    </r>
    <r>
      <rPr>
        <b/>
        <sz val="9"/>
        <color rgb="FF000000"/>
        <rFont val="Arial"/>
      </rPr>
      <t xml:space="preserve">Descuento ZD01: 
</t>
    </r>
    <r>
      <rPr>
        <sz val="9"/>
        <color rgb="FF000000"/>
        <rFont val="Arial"/>
      </rPr>
      <t xml:space="preserve">Organización de ventas / Cliente / Material 
Organización de ventas / Grupo de clientes / Material 
Organización de ventas / Canal de Distribución / Material  
</t>
    </r>
    <r>
      <rPr>
        <b/>
        <sz val="9"/>
        <color rgb="FF000000"/>
        <rFont val="Arial"/>
      </rPr>
      <t xml:space="preserve">Bonificación ZNA0: 
</t>
    </r>
    <r>
      <rPr>
        <sz val="9"/>
        <color rgb="FF000000"/>
        <rFont val="Arial"/>
      </rPr>
      <t xml:space="preserve">Organización de ventas / Canal de Distribución / Cliente/ Material 
Organización de ventas / Canal de Distribución / Material 
 </t>
    </r>
    <r>
      <rPr>
        <b/>
        <sz val="9"/>
        <color rgb="FF000000"/>
        <rFont val="Arial"/>
      </rPr>
      <t xml:space="preserve">Impuestos:  
</t>
    </r>
    <r>
      <rPr>
        <sz val="9"/>
        <color rgb="FF000000"/>
        <rFont val="Arial"/>
      </rPr>
      <t xml:space="preserve">ZIGV: 
País / País Receptor / Clasificación Fiscal Cliente / Clasificación Fiscal Material 
País / Clasificación Fiscal Cliente / Clasificación Fiscal Material </t>
    </r>
  </si>
  <si>
    <t>MC_SD_M020 - Registro de condiciones</t>
  </si>
  <si>
    <t>Gestión de pedidos y contratos</t>
  </si>
  <si>
    <t>SD-10_Venta de stock (SD_P010)</t>
  </si>
  <si>
    <t>BD9</t>
  </si>
  <si>
    <t>Cotización
Pedido de Venta Nacional y Exportación
- Verificación de stock 
- Verificación de crédito
Proceso de Expedición
Facturación
Facturación Electrónica
Reportes</t>
  </si>
  <si>
    <t>Este proceso en SAP soporta la comercialización de existencia a clientes nacionales o extranjeros, el mismo que abarca desde la actividad de preventa hasta el cierre de la venta. Para ello, se puede comprometer el stock; con el objetivo, de asegurar la entrega del pedido del cliente. En el caso que el cliente cuente con línea de crédito, se puede validará desde la puesta del documento comercial. 
Cabe mencionar que, para los procesos definidos en SAP, las existencias son aquellas que: 
- Emplean un código de material, que contará con gestión de cantidad y valor.
- El ingreso de dicho material es contabilizado en ctas. de existencias.</t>
  </si>
  <si>
    <t>Venta Nacional Afecta al IGV.
Venta Nacional Inafecta al IGV.
Venta Nacional Afecta al IGV y con Descuento en las líneas de detalle.
Venta Nacional Afecta al IGV y con Descuento al total del comprobante.
Venta Nacional Afecta al IGV en dólares USD/EUR
Autodetracción.
Venta Exportación Inafecta al IGV
Venta Exportación FOB.
Venta Exportación FOB con Descuento en las líneas de detalle.
Venta Exportación FOB con Descuento al total del comprobante.</t>
  </si>
  <si>
    <t>No incluye otros impuestos: ISC, plásticos, etc.</t>
  </si>
  <si>
    <t>Soporta venta de activos. Se vende como si fuera material de servicio</t>
  </si>
  <si>
    <t>SÍ</t>
  </si>
  <si>
    <t>SD-11_Venta de servicios(SD_P020)</t>
  </si>
  <si>
    <t>SD-12_Venta con Anticipos(SD_P012)</t>
  </si>
  <si>
    <t>BKJ</t>
  </si>
  <si>
    <t>Pedido de anticipo 
Facturación 
Facturación Electrónica
Utilización del anticipo en la venta 
Reportes</t>
  </si>
  <si>
    <t>Este proceso en SAP soporta el uso de la emisión de factura o boleta por el concepto anticipos; es decir, cuando el cliente realiza un adelanto por la adquisición de productos o servicios, que comprará posteriormente en la misma moneda.
Siendo la propuesta de este modelo, aplicar el anticipo como un descuento en el pedido de venta de los productos finales; de modo que, solo se facture el saldo pendiente y emplear la menor cantidad de documentos de facturación. Otra opción es generar un Nota de crédito del anticipo, que luego compensará parcialmente la factura por el importe total de la compra, de modo que el cliente solo paga el saldo de la misma.</t>
  </si>
  <si>
    <t xml:space="preserve">Venta Anticipo Afecta al IGV.
Nota de Crédito de Anticipo y Venta Nacional se compensa en la cobranza.
Venta Nacional con Descuento Manual de Anticipo. 
</t>
  </si>
  <si>
    <t>SD-13_Venta Calzada(SD_P013)</t>
  </si>
  <si>
    <t>BDK
BD3</t>
  </si>
  <si>
    <t>Pedido de Venta Calzada
- Verificación de crédito
- Generación de solicitud de pedido 
Proceso de compra
Proceso de Expedición
Facturación
Facturación Electrónica
Reportes</t>
  </si>
  <si>
    <t>Este proceso se da cuando el producto que requiere el cliente se abastece con un proceso de compra; si no hay stock disponible entonces desde el pedido de venta se genera una solicitud de compra; el stock que ingresa es exclusivo para la venta calzada.</t>
  </si>
  <si>
    <t xml:space="preserve">Venta Afecta al IGV.
Venta Inafecta al IGV.
Venta Afecta al IGV y con Descuento al total del comprobante.
Venta Afecta al IGV y con Descuento en las líneas de detalle.
Venta Afecta al IGV en dólares USD.
</t>
  </si>
  <si>
    <t>SD-14_Transferencia Gratuita y Donaciones(SD_P014)</t>
  </si>
  <si>
    <t>BDA</t>
  </si>
  <si>
    <t>Pedido de Transferencia Gratuita y Donaciones
- Verificación de stock
Proceso de Expedición
Facturación
Reportes</t>
  </si>
  <si>
    <t>Estos procesos son soportados en SAP bajo ciertas particularidades:
- El caso de transferencia gratuita se presenta cuando se regala un producto; por lo tanto, la venta estaría valorizado a cero. Para ello, se aplica un descuento del 100% al precio de venta y en el documento de facturación, se debe indicar que es corresponde a una transferencia gratuita. 
- El caso de donaciones se genera cuando se concede a una entidad y dependencia del Sector Público Nacional mercadería para brindarles apoyo o ayuda.  En dicho caso, la factura se emite con el valor de venta regular pero el importe a cobrar es cero.</t>
  </si>
  <si>
    <t xml:space="preserve">Venta Transferencia Gratuita afecta a IGV
Venta Donaciones Inafecta
</t>
  </si>
  <si>
    <t>SD-15_Venta intercompañía de materiales(SD_P015)</t>
  </si>
  <si>
    <t>Venta Intercompany (Proceso de compras MM) en la sociedad compradora
Proceso de Expedición (en la sociedad vendedora)
Facturación (en la sociedad vendedora)
Facturación Electrónica
Entrada de Mercadería (Proceso MM en la sociedad compradora)
Registro de Factura
Conciliación manual entre cuenta por cobrar y cuenta por pagar entre sociedades
Devolución Intercompany
Reportes</t>
  </si>
  <si>
    <t xml:space="preserve">Este proceso comercial se desarrolla entre dos empresas (sociedades) que pertenecen a una misma organización o grupo empresarial. La empresa ordenante solicita mercancías de un centro que pertenece a otra sociedad y dado que, cada empresa tiene su propio plan contable, la empresa que entrega la mercadería debe facturar a la sociedad que ingrese el pedido de compra intercompany. El precio de dicha factura tiene un valor que permite a la empresa proveedora cubrir sus costos. </t>
  </si>
  <si>
    <t xml:space="preserve">Venta Intercompany Afecta al IGV.
Venta Intercompany Inafecta al IGV.
</t>
  </si>
  <si>
    <t>Entre sociedades de Perú</t>
  </si>
  <si>
    <t>Falta indicar en FI qué actividad o transacción se ejecuta para compensar las partidas entre compañias.</t>
  </si>
  <si>
    <t>SD-16_Venta Intercompañia avanza(SD_P016)</t>
  </si>
  <si>
    <t>5D2</t>
  </si>
  <si>
    <t>SD-17_Consignaciones(SD_P0140)</t>
  </si>
  <si>
    <t>1IU</t>
  </si>
  <si>
    <t>Reposición de artículos en consignación:
- Pedido de Reposición Art. en consignación
- Proceso de Expedición
Toma de artículos en consignación
- Pedido de Toma Art. en consignación
- Procedo de Expedición
- Facturación
- Facturación Electrónica
Recojo de artículos en consignación
- Pedido de Recojo Art. en consignación
- Proceso de Expedición
Devolución de artículos en consignación
- Pedido de Devolución Art. en consignación
- Proceso de Expedición
- Facturación
- Facturación Electrónica
Reportes</t>
  </si>
  <si>
    <t>Este proceso se da cuando la empresa da en consignación sus productos por ejemplo a distribuidores menores; el stock físicamente va a los distribuidores, pero aún es propiedad de la empresa; hasta que el distribuidor hace la venta al cliente final. 
Hay 4 escenarios para el tratamiento de este proceso: 
- La reposición del producto o envió a consignación al distribuidor
- La toma cuando el producto consignado se vende al cliente final
- El recojo cuando el distribuidor devuelve el producto a la empresa
- La devolución cuando el cliente final devuelve el producto al distribuidor</t>
  </si>
  <si>
    <t xml:space="preserve">Reposición de artículos en Consignación sin Precio.
Toma de artículos en Consignación Afecto al IGV.
Devolución de artículos en Consignación Afecto al IGV.
Recojo de artículos en Consignación sin Precio.
</t>
  </si>
  <si>
    <t>Falta indicar trasnacciones por cada actividad. Relacionarlo con BPD o con el diagrama de flujo. Actualizar transporte en el diagrama se muestra pero no se indica en el BPD</t>
  </si>
  <si>
    <t>SD-60_Contrato por Valor(SD_P060)</t>
  </si>
  <si>
    <t>I9I</t>
  </si>
  <si>
    <t>Contrato por Valor
- Contrato
- Pedido mensual 
- Facturación
- Facturación Electrónica
Contrato con Plan de Facturación
- Contrato
- Facturación
- Facturación Electrónica
Reportes</t>
  </si>
  <si>
    <t>Esta funcionalidad da soporte para registrar contratos por valor por ejemplo si la empresa tiene contratos de alquiler que facturan mensualmente.</t>
  </si>
  <si>
    <t xml:space="preserve">Contrato con Pedido de Venta Afecto al IGV.
Contrato con Plan de Facturación Afecto al IGV.
</t>
  </si>
  <si>
    <t>SD-70_Contrato por Cantidad(SD_P060)</t>
  </si>
  <si>
    <t>SD-80_Gestión de reclamos(SD_P080)</t>
  </si>
  <si>
    <t>1EZ
1F1
BKL
BDQ
BKP</t>
  </si>
  <si>
    <t>Nota de Crédito por Valor
- Solicitud de Nota de crédito 
- Facturación
- Facturación Electrónica
Nota de Crédito por Devolución
- Solicitud de Nota de crédito de devolución
- Devolución de mercadería
- Facturación
- Facturación Electrónica
Nota de Débito:
- Solicitud de Nota de débito
- Facturación
- Facturación Electrónica</t>
  </si>
  <si>
    <t>Este proceso da soporte a los eventos que se pueden presentar post-venta tanto a favor del cliente como a favor del proveedor. Dentro de este proceso se pueden atender casos como los siguientes:
- Cuando el cliente hace u n reclamo y este procede, puede devolver la mercadería o dársele crédito a favor.
- Cuando se ha incumplido una condición de la venta y/o se presentó a ajuste sobre el precio.</t>
  </si>
  <si>
    <t xml:space="preserve">Nota de Crédito Afecta al IGV
Nota de Crédito Inafecta
Nota de Crédito Afecta al IGV sin referencia
Nota de Crédito de Devolución Parcial Afecta al IGV
Nota de Crédito de Devolución Total Afecta al IGV
Nota de Crédito de Devolución sin referencia Afecta al IGV
Nota de debito Afecta al IGV
</t>
  </si>
  <si>
    <t>Faltan transacciones</t>
  </si>
  <si>
    <t>Grado de adopción</t>
  </si>
  <si>
    <t>Grado de Complejidad</t>
  </si>
  <si>
    <t>#Partidas Ab.</t>
  </si>
  <si>
    <t>#Datos Maestros</t>
  </si>
  <si>
    <t>#Usuarios Finales</t>
  </si>
  <si>
    <t>PROMEDIO</t>
  </si>
  <si>
    <t>Modulo</t>
  </si>
  <si>
    <t>GAP</t>
  </si>
  <si>
    <t>Semanas Prepare- Deploy</t>
  </si>
  <si>
    <t xml:space="preserve">Prepare MIN </t>
  </si>
  <si>
    <t>Explore MIN</t>
  </si>
  <si>
    <t>Realize MIN</t>
  </si>
  <si>
    <t>Deploy MIN</t>
  </si>
  <si>
    <t>Run MIN</t>
  </si>
  <si>
    <t>Semanas Prepare- Deploy MIN</t>
  </si>
  <si>
    <t>Prepare PROM</t>
  </si>
  <si>
    <t>Explore PROM</t>
  </si>
  <si>
    <t>Realize PROM</t>
  </si>
  <si>
    <t>Deploy PROM</t>
  </si>
  <si>
    <t xml:space="preserve"> </t>
  </si>
  <si>
    <t>Detalle de asignación de los costos para la operación en planta y en campo.</t>
  </si>
  <si>
    <t>Revisión de driver para operaciones en planta y campo.</t>
  </si>
  <si>
    <t>El cierre de costos debe contemplar las actividades propias de campo y planta. Considerando que en campo existen otros procedimientos para el costeo de la producción.</t>
  </si>
  <si>
    <t>Modelamiento del costo de producción en campo.</t>
  </si>
  <si>
    <t>Activos fijos en curso en Campo</t>
  </si>
  <si>
    <t>GEstión de los activos fijos en curso en Campo.</t>
  </si>
  <si>
    <t>15 centros</t>
  </si>
  <si>
    <t>Al no tener EWM se debe requerir más esfuerzo en las definiciones y pruebas de gestión de stock y uso de HU.
Además se tiene integración con la Balanza.</t>
  </si>
  <si>
    <t>Definición de procesos MTO y MTS.</t>
  </si>
  <si>
    <t>Inclusión de HU en la entrega de productos.</t>
  </si>
  <si>
    <t>Para cambios de presentación y reetiquetados.</t>
  </si>
  <si>
    <t>Modelamiento de la estructura para Campos: Fundo -&gt;Parcela-&gt; Lote</t>
  </si>
  <si>
    <t>Asignación de costos de proyecto al costo de producción a través de liquidaciones del PEP a orden de fabricación.</t>
  </si>
  <si>
    <t>Detalles adicionales en el despacho y descripción adecuada del proceso para atender las exportaciones y documentación necesaria que se deba manejar sin el uso de TM.</t>
  </si>
  <si>
    <t>Revisión del proceso dado que se hacen liquidaciones con el cliente a pesar de no manejar el stock en consignación.</t>
  </si>
  <si>
    <t>SD-70_Contrato por Cantidad(SD_P070)</t>
  </si>
  <si>
    <t>No tiene sentido devoluciones por ser productos perecibles. Se debe majera ajuste por valor.</t>
  </si>
  <si>
    <t>Id</t>
  </si>
  <si>
    <t>GAP - Descripción</t>
  </si>
  <si>
    <t>Proceso</t>
  </si>
  <si>
    <t>i</t>
  </si>
  <si>
    <t>MAX</t>
  </si>
  <si>
    <t>Exploración Max</t>
  </si>
  <si>
    <t>Realización Max</t>
  </si>
  <si>
    <t>Despliegue Max</t>
  </si>
  <si>
    <t>TTGL</t>
  </si>
  <si>
    <t>%Asig</t>
  </si>
  <si>
    <t>%Asig. Real</t>
  </si>
  <si>
    <t>Total general</t>
  </si>
  <si>
    <t>MIN</t>
  </si>
  <si>
    <t>Etiquetas de fila</t>
  </si>
  <si>
    <t>Suma de Explore MIN</t>
  </si>
  <si>
    <t>Suma de Realize MIN</t>
  </si>
  <si>
    <t>Despliegue Min</t>
  </si>
  <si>
    <t>PROM</t>
  </si>
  <si>
    <t>Exploración Pro</t>
  </si>
  <si>
    <t>Relización Pro</t>
  </si>
  <si>
    <t>Despliegue Pro</t>
  </si>
  <si>
    <t>(Varios elementos)</t>
  </si>
  <si>
    <t>Suma de Explore PROM</t>
  </si>
  <si>
    <t>Suma de Realize PROM</t>
  </si>
  <si>
    <t>Suma de Explore</t>
  </si>
  <si>
    <t>Suma de Realize</t>
  </si>
  <si>
    <t>Total CO</t>
  </si>
  <si>
    <t>Total FI</t>
  </si>
  <si>
    <t>Total MM</t>
  </si>
  <si>
    <t>Total PP</t>
  </si>
  <si>
    <t>Total PS</t>
  </si>
  <si>
    <t>Total SD</t>
  </si>
  <si>
    <t>HORAS DEL PROCESO</t>
  </si>
  <si>
    <t>*</t>
  </si>
  <si>
    <t>QUAD A</t>
  </si>
  <si>
    <t>COMPLEJIDAD</t>
  </si>
  <si>
    <t>Scope Item</t>
  </si>
  <si>
    <t>N/A</t>
  </si>
  <si>
    <t>J58</t>
  </si>
  <si>
    <t xml:space="preserve">J54 </t>
  </si>
  <si>
    <t>4X8 N/A S0p</t>
  </si>
  <si>
    <t>BNX</t>
  </si>
  <si>
    <t>2LG N/A S0p</t>
  </si>
  <si>
    <t>BMY N/A S0p</t>
  </si>
  <si>
    <t>Descripción Scope Item</t>
  </si>
  <si>
    <t>No aplica</t>
  </si>
  <si>
    <t>Accounting and Financial Close</t>
  </si>
  <si>
    <t>Financial Plan Data Upload from File</t>
  </si>
  <si>
    <t>Overhead Cost Accounting</t>
  </si>
  <si>
    <t xml:space="preserve">Margin Analysis </t>
  </si>
  <si>
    <t>Integrated Financial Planning</t>
  </si>
  <si>
    <t>Inbound Processing</t>
  </si>
  <si>
    <t>Outbound Processing</t>
  </si>
  <si>
    <t>4RP N/A S0p</t>
  </si>
  <si>
    <t>4RO N/A S0p</t>
  </si>
  <si>
    <t>4RR</t>
  </si>
  <si>
    <t>Physical Inventory</t>
  </si>
  <si>
    <t>4RQ    4RS    N/A S0p</t>
  </si>
  <si>
    <t>Ad Hoc goods Issue /             Replenishment</t>
  </si>
  <si>
    <t>Asset Accounting</t>
  </si>
  <si>
    <t xml:space="preserve">Basic Bank Account Management </t>
  </si>
  <si>
    <t>Accounts Payable</t>
  </si>
  <si>
    <t>Accounts Receivable</t>
  </si>
  <si>
    <t>No aplica en S0p</t>
  </si>
  <si>
    <t>Basic Credit Management</t>
  </si>
  <si>
    <t xml:space="preserve">Procurement of Direct Materials </t>
  </si>
  <si>
    <t>Procurement of Services</t>
  </si>
  <si>
    <t>Consumable Purchasing</t>
  </si>
  <si>
    <t>Purchase Contract</t>
  </si>
  <si>
    <t>No Aplica</t>
  </si>
  <si>
    <t>4HI</t>
  </si>
  <si>
    <t>Proactive Maintenance</t>
  </si>
  <si>
    <t>4HH</t>
  </si>
  <si>
    <t>Reactive Maintenance</t>
  </si>
  <si>
    <t>No aplica en Estructura Organizativa</t>
  </si>
  <si>
    <t>No aplica en Maestros</t>
  </si>
  <si>
    <t>N/A EO</t>
  </si>
  <si>
    <t>N/A Master Data</t>
  </si>
  <si>
    <t>No aplica en Datos Maestros</t>
  </si>
  <si>
    <t>2QW N/A S0p</t>
  </si>
  <si>
    <t>Analytics for Production Unit - Plan/Actual Production Cost</t>
  </si>
  <si>
    <t>1NT</t>
  </si>
  <si>
    <t>Project Control - Finance</t>
  </si>
  <si>
    <t>4I9</t>
  </si>
  <si>
    <t>Project Control – Sales</t>
  </si>
  <si>
    <t>Period-End Closing - Projects</t>
  </si>
  <si>
    <t>BNA</t>
  </si>
  <si>
    <t>BJ5 N/A S0p</t>
  </si>
  <si>
    <t>Quality Management in Procurement</t>
  </si>
  <si>
    <t>1E1.</t>
  </si>
  <si>
    <t xml:space="preserve">Quality Management in Discrete Manufacturing </t>
  </si>
  <si>
    <t>1MR N/A S0p</t>
  </si>
  <si>
    <t>2F9 N/A S0p</t>
  </si>
  <si>
    <t>2FA N/A S0p</t>
  </si>
  <si>
    <t>2QP N/A S0p</t>
  </si>
  <si>
    <t>2QN N/A S0p</t>
  </si>
  <si>
    <t xml:space="preserve">Make-to-Order Production - Finished Goods Sales and Final Assembly </t>
  </si>
  <si>
    <t>Make-to-Order Production - Process Manufacturing</t>
  </si>
  <si>
    <t>BJN N/A S0p</t>
  </si>
  <si>
    <t>3L7 N/A S0p</t>
  </si>
  <si>
    <t>BJK N/A S0p</t>
  </si>
  <si>
    <t>BJ8 N/A S0p</t>
  </si>
  <si>
    <t>BJH N/A S0p</t>
  </si>
  <si>
    <t>Material Requirements Planning</t>
  </si>
  <si>
    <t>4B5 N/A S0p</t>
  </si>
  <si>
    <t>2QI/1Y2 N/A S0p</t>
  </si>
  <si>
    <t>31L/3LQ N/A S0p</t>
  </si>
  <si>
    <t>Sell from Stock</t>
  </si>
  <si>
    <t>2EQ</t>
  </si>
  <si>
    <t xml:space="preserve">Sale of Services </t>
  </si>
  <si>
    <t>BKJ N/A S0p</t>
  </si>
  <si>
    <t>Free of Charge Delivery</t>
  </si>
  <si>
    <t>BDK/BD3 N/A S0p</t>
  </si>
  <si>
    <t>1IU N/A S0p</t>
  </si>
  <si>
    <t xml:space="preserve">Sales Contract Management </t>
  </si>
  <si>
    <t>1EZ / 1F1 / BKL / BDQ</t>
  </si>
  <si>
    <t>Credit Memo Processing / Debit Memo Processing / Invoice Correction Process with Credit Memo /  Invoice Correction Process with Debit Memo</t>
  </si>
  <si>
    <t>Intercompany Sales Order Processing - Domestic / Intercompany Sales Order Processing - International</t>
  </si>
  <si>
    <t>1HO / 1MX</t>
  </si>
  <si>
    <t>1WO</t>
  </si>
  <si>
    <t>Extended Intercompany Processes for Sales</t>
  </si>
  <si>
    <t>BDG</t>
  </si>
  <si>
    <t>Sales Quotation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</si>
</sst>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Calibri"/>
      <family val="2"/>
      <scheme val="minor"/>
    </font>
    <font>
      <sz val="9"/>
      <color rgb="FF000000"/>
      <name val="Arial"/>
    </font>
    <font>
      <sz val="9"/>
      <color theme="1"/>
      <name val="Arial"/>
    </font>
    <font>
      <sz val="9"/>
      <color rgb="FFFF0000"/>
      <name val="Arial"/>
    </font>
    <font>
      <b/>
      <sz val="9"/>
      <color rgb="FF000000"/>
      <name val="Arial"/>
    </font>
    <font>
      <sz val="9"/>
      <name val="Arial"/>
    </font>
    <font>
      <sz val="9"/>
      <color theme="1"/>
      <name val="Calibri"/>
      <scheme val="minor"/>
    </font>
    <font>
      <b/>
      <sz val="9"/>
      <color theme="0"/>
      <name val="Arial"/>
    </font>
    <font>
      <sz val="11"/>
      <color rgb="FF242424"/>
      <name val="Consolas"/>
      <charset val="1"/>
    </font>
    <font>
      <sz val="11"/>
      <color rgb="FF242424"/>
      <name val="Calibri Light"/>
      <scheme val="major"/>
    </font>
    <font>
      <b/>
      <sz val="11"/>
      <color theme="1"/>
      <name val="Calibri"/>
      <family val="2"/>
      <scheme val="minor"/>
    </font>
    <font>
      <b/>
      <sz val="14"/>
      <color theme="1"/>
      <name val="Calibri"/>
      <family val="2"/>
      <scheme val="minor"/>
    </font>
    <font>
      <sz val="11"/>
      <color rgb="FF000000"/>
      <name val="Calibri"/>
      <scheme val="minor"/>
    </font>
    <font>
      <b/>
      <sz val="11"/>
      <color rgb="FF000000"/>
      <name val="Calibri"/>
      <scheme val="minor"/>
    </font>
    <font>
      <b/>
      <sz val="24"/>
      <color theme="1"/>
      <name val="Calibri"/>
      <family val="2"/>
      <scheme val="minor"/>
    </font>
    <font>
      <b/>
      <sz val="11"/>
      <color theme="0"/>
      <name val="Calibri"/>
      <family val="2"/>
      <scheme val="minor"/>
    </font>
    <font>
      <sz val="11"/>
      <color theme="1"/>
      <name val="Calibri"/>
      <family val="2"/>
      <scheme val="minor"/>
    </font>
    <font>
      <sz val="11"/>
      <color theme="0"/>
      <name val="Calibri"/>
      <family val="2"/>
      <scheme val="minor"/>
    </font>
    <font>
      <u/>
      <sz val="11"/>
      <color theme="1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bgColor theme="4"/>
      </patternFill>
    </fill>
    <fill>
      <patternFill patternType="solid">
        <fgColor theme="1" tint="0.499984740745262"/>
        <bgColor indexed="64"/>
      </patternFill>
    </fill>
    <fill>
      <patternFill patternType="solid">
        <fgColor rgb="FFFFFF00"/>
        <bgColor indexed="64"/>
      </patternFill>
    </fill>
    <fill>
      <patternFill patternType="solid">
        <fgColor theme="2"/>
        <bgColor indexed="64"/>
      </patternFill>
    </fill>
    <fill>
      <patternFill patternType="solid">
        <fgColor theme="9"/>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theme="4" tint="-0.249977111117893"/>
      </top>
      <bottom/>
      <diagonal/>
    </border>
    <border>
      <left style="thin">
        <color rgb="FF000000"/>
      </left>
      <right/>
      <top/>
      <bottom style="thin">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bottom style="thin">
        <color rgb="FF000000"/>
      </bottom>
      <diagonal/>
    </border>
    <border>
      <left/>
      <right/>
      <top style="thin">
        <color theme="4" tint="-0.249977111117893"/>
      </top>
      <bottom style="medium">
        <color theme="4" tint="-0.249977111117893"/>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rgb="FF000000"/>
      </right>
      <top style="thin">
        <color rgb="FF000000"/>
      </top>
      <bottom style="thin">
        <color rgb="FF000000"/>
      </bottom>
      <diagonal/>
    </border>
  </borders>
  <cellStyleXfs count="3">
    <xf numFmtId="0" fontId="0" fillId="0" borderId="0"/>
    <xf numFmtId="9" fontId="16" fillId="0" borderId="0" applyFont="0" applyFill="0" applyBorder="0" applyAlignment="0" applyProtection="0"/>
    <xf numFmtId="0" fontId="18" fillId="0" borderId="0" applyNumberFormat="0" applyFill="0" applyBorder="0" applyAlignment="0" applyProtection="0"/>
  </cellStyleXfs>
  <cellXfs count="165">
    <xf numFmtId="0" fontId="0" fillId="0" borderId="0" xfId="0"/>
    <xf numFmtId="0" fontId="2" fillId="0" borderId="0" xfId="0" applyFont="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indent="2"/>
    </xf>
    <xf numFmtId="0" fontId="3" fillId="0" borderId="1" xfId="0" applyFont="1" applyBorder="1" applyAlignment="1">
      <alignment vertical="top" wrapText="1"/>
    </xf>
    <xf numFmtId="0" fontId="3" fillId="0" borderId="1" xfId="0" applyFont="1" applyBorder="1" applyAlignment="1">
      <alignment horizontal="left" vertical="top"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1" fillId="0" borderId="1" xfId="0" applyFont="1" applyBorder="1"/>
    <xf numFmtId="0" fontId="2" fillId="0" borderId="1" xfId="0" quotePrefix="1" applyFont="1" applyBorder="1" applyAlignment="1">
      <alignment horizontal="left" vertical="top" wrapText="1"/>
    </xf>
    <xf numFmtId="0" fontId="3" fillId="0" borderId="1" xfId="0" applyFont="1" applyBorder="1" applyAlignment="1">
      <alignment horizontal="left" vertical="top" wrapText="1" indent="2"/>
    </xf>
    <xf numFmtId="0" fontId="1" fillId="0" borderId="1" xfId="0" applyFont="1" applyBorder="1" applyAlignment="1">
      <alignment horizontal="left" vertical="top"/>
    </xf>
    <xf numFmtId="0" fontId="1" fillId="0" borderId="1" xfId="0" quotePrefix="1" applyFont="1" applyBorder="1" applyAlignment="1">
      <alignment horizontal="left" vertical="top" wrapText="1"/>
    </xf>
    <xf numFmtId="0" fontId="2" fillId="0" borderId="1" xfId="0" applyFont="1" applyBorder="1" applyAlignment="1">
      <alignment horizontal="left" vertical="top" wrapText="1" indent="1"/>
    </xf>
    <xf numFmtId="9" fontId="2" fillId="0" borderId="1" xfId="0" applyNumberFormat="1" applyFont="1" applyBorder="1" applyAlignment="1">
      <alignment horizontal="left" vertical="top" wrapText="1"/>
    </xf>
    <xf numFmtId="0" fontId="5" fillId="0" borderId="1" xfId="0" applyFont="1" applyBorder="1" applyAlignment="1">
      <alignment horizontal="left" vertical="top" wrapText="1"/>
    </xf>
    <xf numFmtId="11" fontId="2" fillId="0" borderId="1" xfId="0" quotePrefix="1" applyNumberFormat="1" applyFont="1" applyBorder="1" applyAlignment="1">
      <alignment horizontal="left" vertical="top" wrapText="1"/>
    </xf>
    <xf numFmtId="0" fontId="2" fillId="0" borderId="2" xfId="0" applyFont="1" applyBorder="1" applyAlignment="1">
      <alignment horizontal="left" vertical="top" wrapText="1" indent="2"/>
    </xf>
    <xf numFmtId="0" fontId="2" fillId="0" borderId="2" xfId="0" applyFont="1" applyBorder="1" applyAlignment="1">
      <alignment horizontal="left" vertical="top" wrapText="1" indent="1"/>
    </xf>
    <xf numFmtId="0" fontId="6" fillId="0" borderId="0" xfId="0" applyFont="1" applyAlignment="1">
      <alignment horizontal="left" vertical="top" wrapText="1"/>
    </xf>
    <xf numFmtId="10" fontId="2" fillId="0" borderId="0" xfId="0" applyNumberFormat="1" applyFont="1" applyAlignment="1">
      <alignment horizontal="left" vertical="top" wrapText="1"/>
    </xf>
    <xf numFmtId="9" fontId="2" fillId="0" borderId="0" xfId="0" applyNumberFormat="1" applyFont="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1" fillId="0" borderId="0" xfId="0" applyFont="1" applyAlignment="1">
      <alignment wrapText="1"/>
    </xf>
    <xf numFmtId="0" fontId="1" fillId="0" borderId="2" xfId="0" applyFont="1" applyBorder="1" applyAlignment="1">
      <alignment horizontal="left" vertical="top" wrapText="1"/>
    </xf>
    <xf numFmtId="0" fontId="0" fillId="0" borderId="0" xfId="0" pivotButton="1"/>
    <xf numFmtId="0" fontId="0" fillId="2" borderId="0" xfId="0" applyFill="1"/>
    <xf numFmtId="164" fontId="0" fillId="0" borderId="0" xfId="0" applyNumberFormat="1"/>
    <xf numFmtId="0" fontId="0" fillId="2" borderId="0" xfId="0" applyFill="1" applyAlignment="1">
      <alignment vertical="top" wrapText="1"/>
    </xf>
    <xf numFmtId="0" fontId="0" fillId="2" borderId="0" xfId="0" applyFill="1" applyAlignment="1">
      <alignment horizontal="left" vertical="top"/>
    </xf>
    <xf numFmtId="0" fontId="0" fillId="3" borderId="8" xfId="0" applyFill="1" applyBorder="1"/>
    <xf numFmtId="0" fontId="0" fillId="3" borderId="0" xfId="0" applyFill="1"/>
    <xf numFmtId="0" fontId="0" fillId="3" borderId="9" xfId="0" applyFill="1" applyBorder="1"/>
    <xf numFmtId="0" fontId="15" fillId="5" borderId="18" xfId="0" applyFont="1" applyFill="1" applyBorder="1"/>
    <xf numFmtId="0" fontId="2" fillId="2" borderId="1" xfId="0" applyFont="1" applyFill="1" applyBorder="1" applyAlignment="1">
      <alignment vertical="top" wrapText="1"/>
    </xf>
    <xf numFmtId="0" fontId="0" fillId="2" borderId="1" xfId="0" applyFill="1" applyBorder="1"/>
    <xf numFmtId="0" fontId="8" fillId="2" borderId="1" xfId="0" applyFont="1" applyFill="1" applyBorder="1" applyAlignment="1">
      <alignment horizontal="left" vertical="top"/>
    </xf>
    <xf numFmtId="0" fontId="9" fillId="2" borderId="1" xfId="0" applyFont="1" applyFill="1" applyBorder="1" applyAlignment="1">
      <alignment horizontal="left" vertical="top" wrapText="1"/>
    </xf>
    <xf numFmtId="0" fontId="1" fillId="2" borderId="1" xfId="0" applyFont="1" applyFill="1" applyBorder="1" applyAlignment="1">
      <alignment vertical="top" wrapText="1"/>
    </xf>
    <xf numFmtId="0" fontId="7" fillId="6" borderId="1" xfId="0" applyFont="1" applyFill="1" applyBorder="1" applyAlignment="1">
      <alignment horizontal="left" vertical="top" wrapText="1"/>
    </xf>
    <xf numFmtId="0" fontId="2" fillId="2" borderId="3" xfId="0" applyFont="1" applyFill="1" applyBorder="1" applyAlignment="1">
      <alignment vertical="top" wrapText="1"/>
    </xf>
    <xf numFmtId="0" fontId="0" fillId="2" borderId="3" xfId="0" applyFill="1" applyBorder="1"/>
    <xf numFmtId="0" fontId="9" fillId="2" borderId="3" xfId="0" applyFont="1" applyFill="1" applyBorder="1" applyAlignment="1">
      <alignment horizontal="left" vertical="top" wrapText="1"/>
    </xf>
    <xf numFmtId="0" fontId="0" fillId="3" borderId="19" xfId="0" applyFill="1" applyBorder="1" applyAlignment="1">
      <alignment vertical="top"/>
    </xf>
    <xf numFmtId="0" fontId="0" fillId="3" borderId="4" xfId="0" applyFill="1" applyBorder="1" applyAlignment="1">
      <alignment vertical="top"/>
    </xf>
    <xf numFmtId="0" fontId="7" fillId="6" borderId="1" xfId="0" applyFont="1" applyFill="1" applyBorder="1" applyAlignment="1">
      <alignment horizontal="center" vertical="top" wrapText="1"/>
    </xf>
    <xf numFmtId="0" fontId="0" fillId="2" borderId="1" xfId="0" applyFill="1" applyBorder="1" applyAlignment="1">
      <alignment horizontal="center"/>
    </xf>
    <xf numFmtId="0" fontId="0" fillId="2" borderId="1" xfId="0" applyFill="1" applyBorder="1" applyAlignment="1">
      <alignment horizontal="left"/>
    </xf>
    <xf numFmtId="0" fontId="0" fillId="2" borderId="21" xfId="0" applyFill="1" applyBorder="1" applyAlignment="1">
      <alignment vertical="top"/>
    </xf>
    <xf numFmtId="0" fontId="0" fillId="2" borderId="22" xfId="0" applyFill="1" applyBorder="1" applyAlignment="1">
      <alignment horizontal="center"/>
    </xf>
    <xf numFmtId="0" fontId="0" fillId="2" borderId="22" xfId="0" applyFill="1" applyBorder="1" applyAlignment="1">
      <alignment horizontal="left"/>
    </xf>
    <xf numFmtId="0" fontId="0" fillId="2" borderId="22" xfId="0" applyFill="1" applyBorder="1"/>
    <xf numFmtId="0" fontId="0" fillId="2" borderId="23" xfId="0" applyFill="1" applyBorder="1" applyAlignment="1">
      <alignment vertical="top"/>
    </xf>
    <xf numFmtId="0" fontId="0" fillId="2" borderId="24" xfId="0" applyFill="1" applyBorder="1" applyAlignment="1">
      <alignment horizontal="center"/>
    </xf>
    <xf numFmtId="0" fontId="0" fillId="2" borderId="25" xfId="0" applyFill="1" applyBorder="1" applyAlignment="1">
      <alignment horizontal="center"/>
    </xf>
    <xf numFmtId="0" fontId="0" fillId="2" borderId="26" xfId="0" applyFill="1" applyBorder="1" applyAlignment="1">
      <alignment vertical="top"/>
    </xf>
    <xf numFmtId="0" fontId="0" fillId="2" borderId="27" xfId="0" applyFill="1" applyBorder="1" applyAlignment="1">
      <alignment horizontal="center"/>
    </xf>
    <xf numFmtId="0" fontId="0" fillId="2" borderId="27" xfId="0" applyFill="1" applyBorder="1" applyAlignment="1">
      <alignment horizontal="left"/>
    </xf>
    <xf numFmtId="0" fontId="0" fillId="2" borderId="27" xfId="0" applyFill="1" applyBorder="1"/>
    <xf numFmtId="0" fontId="0" fillId="2" borderId="28" xfId="0" applyFill="1" applyBorder="1" applyAlignment="1">
      <alignment horizontal="center"/>
    </xf>
    <xf numFmtId="0" fontId="0" fillId="2" borderId="3" xfId="0" applyFill="1" applyBorder="1" applyAlignment="1">
      <alignment horizontal="left" vertical="top" wrapText="1"/>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0" fillId="2" borderId="4" xfId="0" applyFill="1" applyBorder="1" applyAlignment="1">
      <alignment horizontal="left" vertical="top" wrapText="1"/>
    </xf>
    <xf numFmtId="0" fontId="0" fillId="2" borderId="19" xfId="0" applyFill="1" applyBorder="1" applyAlignment="1">
      <alignment horizontal="left" vertical="top" wrapText="1"/>
    </xf>
    <xf numFmtId="0" fontId="0" fillId="2" borderId="3" xfId="0" applyFill="1" applyBorder="1" applyAlignment="1">
      <alignment horizontal="left" vertical="top"/>
    </xf>
    <xf numFmtId="0" fontId="6" fillId="0" borderId="2" xfId="0" applyFont="1" applyBorder="1" applyAlignment="1">
      <alignment horizontal="left" vertical="top" wrapText="1" indent="1"/>
    </xf>
    <xf numFmtId="0" fontId="6" fillId="0" borderId="1" xfId="0" applyFont="1" applyBorder="1" applyAlignment="1">
      <alignment horizontal="left" vertical="top" wrapText="1"/>
    </xf>
    <xf numFmtId="0" fontId="6" fillId="0" borderId="2" xfId="0" applyFont="1" applyBorder="1" applyAlignment="1">
      <alignment horizontal="left" vertical="top" wrapText="1" indent="2"/>
    </xf>
    <xf numFmtId="0" fontId="6" fillId="0" borderId="0" xfId="0" applyFont="1" applyAlignment="1">
      <alignment horizontal="left" vertical="top" wrapText="1" indent="1"/>
    </xf>
    <xf numFmtId="0" fontId="2" fillId="2" borderId="2" xfId="0" applyFont="1" applyFill="1" applyBorder="1" applyAlignment="1">
      <alignment vertical="top" wrapText="1"/>
    </xf>
    <xf numFmtId="0" fontId="0" fillId="2" borderId="20" xfId="0" applyFill="1" applyBorder="1"/>
    <xf numFmtId="0" fontId="0" fillId="2" borderId="13" xfId="0" applyFill="1" applyBorder="1"/>
    <xf numFmtId="0" fontId="0" fillId="2" borderId="14" xfId="0" applyFill="1" applyBorder="1"/>
    <xf numFmtId="0" fontId="10" fillId="2" borderId="16" xfId="0" applyFont="1" applyFill="1" applyBorder="1" applyAlignment="1">
      <alignment horizontal="center"/>
    </xf>
    <xf numFmtId="0" fontId="0" fillId="2" borderId="29" xfId="0" applyFill="1" applyBorder="1"/>
    <xf numFmtId="0" fontId="7" fillId="6" borderId="2" xfId="0" applyFont="1" applyFill="1" applyBorder="1" applyAlignment="1">
      <alignment horizontal="left" vertical="top" wrapText="1"/>
    </xf>
    <xf numFmtId="0" fontId="2" fillId="0" borderId="1" xfId="0" applyFont="1" applyBorder="1" applyAlignment="1">
      <alignment vertical="top" wrapText="1"/>
    </xf>
    <xf numFmtId="0" fontId="0" fillId="0" borderId="1" xfId="0" applyBorder="1" applyAlignment="1">
      <alignment horizontal="left" vertical="top"/>
    </xf>
    <xf numFmtId="0" fontId="0" fillId="2" borderId="0" xfId="0" applyFill="1" applyAlignment="1">
      <alignment horizontal="center"/>
    </xf>
    <xf numFmtId="0" fontId="0" fillId="0" borderId="0" xfId="0" applyAlignment="1">
      <alignment horizontal="left"/>
    </xf>
    <xf numFmtId="0" fontId="7" fillId="6" borderId="31" xfId="0" applyFont="1" applyFill="1" applyBorder="1" applyAlignment="1">
      <alignment horizontal="left" vertical="top" wrapText="1"/>
    </xf>
    <xf numFmtId="164" fontId="0" fillId="2" borderId="0" xfId="0" applyNumberFormat="1" applyFill="1"/>
    <xf numFmtId="10" fontId="0" fillId="2" borderId="0" xfId="1" applyNumberFormat="1" applyFont="1" applyFill="1"/>
    <xf numFmtId="164" fontId="10" fillId="0" borderId="30" xfId="0" applyNumberFormat="1" applyFont="1" applyBorder="1"/>
    <xf numFmtId="0" fontId="0" fillId="0" borderId="32" xfId="0" applyBorder="1"/>
    <xf numFmtId="0" fontId="0" fillId="2" borderId="33" xfId="0" applyFill="1" applyBorder="1"/>
    <xf numFmtId="0" fontId="0" fillId="2" borderId="35" xfId="0" applyFill="1" applyBorder="1"/>
    <xf numFmtId="0" fontId="0" fillId="2" borderId="36" xfId="0" applyFill="1" applyBorder="1"/>
    <xf numFmtId="0" fontId="0" fillId="2" borderId="37" xfId="0" applyFill="1" applyBorder="1"/>
    <xf numFmtId="0" fontId="0" fillId="2" borderId="38" xfId="0" applyFill="1" applyBorder="1"/>
    <xf numFmtId="0" fontId="0" fillId="2" borderId="39" xfId="0" applyFill="1" applyBorder="1"/>
    <xf numFmtId="0" fontId="0" fillId="2" borderId="40" xfId="0" applyFill="1" applyBorder="1"/>
    <xf numFmtId="0" fontId="0" fillId="2" borderId="41" xfId="0" applyFill="1" applyBorder="1"/>
    <xf numFmtId="0" fontId="0" fillId="2" borderId="42" xfId="0" applyFill="1" applyBorder="1"/>
    <xf numFmtId="0" fontId="0" fillId="7" borderId="0" xfId="0" applyFill="1"/>
    <xf numFmtId="0" fontId="0" fillId="2" borderId="0" xfId="0" applyFill="1" applyAlignment="1">
      <alignment horizontal="left" vertical="top" wrapText="1"/>
    </xf>
    <xf numFmtId="0" fontId="0" fillId="3" borderId="1" xfId="0" applyFill="1" applyBorder="1" applyAlignment="1">
      <alignment horizontal="left" vertical="top" wrapText="1"/>
    </xf>
    <xf numFmtId="2" fontId="0" fillId="0" borderId="0" xfId="0" applyNumberFormat="1"/>
    <xf numFmtId="0" fontId="0" fillId="2" borderId="44" xfId="0" applyFill="1" applyBorder="1"/>
    <xf numFmtId="0" fontId="10" fillId="2" borderId="6" xfId="0" applyFont="1" applyFill="1" applyBorder="1" applyAlignment="1">
      <alignment horizontal="center"/>
    </xf>
    <xf numFmtId="0" fontId="10" fillId="8" borderId="44" xfId="0" applyFont="1" applyFill="1" applyBorder="1"/>
    <xf numFmtId="0" fontId="17" fillId="2" borderId="0" xfId="0" applyFont="1" applyFill="1" applyAlignment="1">
      <alignment horizontal="left" vertical="top" wrapText="1"/>
    </xf>
    <xf numFmtId="164" fontId="10" fillId="9" borderId="0" xfId="0" applyNumberFormat="1" applyFont="1" applyFill="1"/>
    <xf numFmtId="0" fontId="0" fillId="8" borderId="43" xfId="0" applyFill="1" applyBorder="1"/>
    <xf numFmtId="0" fontId="0" fillId="8" borderId="43" xfId="0" applyFill="1" applyBorder="1" applyAlignment="1">
      <alignment horizontal="left"/>
    </xf>
    <xf numFmtId="0" fontId="0" fillId="2" borderId="6" xfId="0" applyFill="1" applyBorder="1"/>
    <xf numFmtId="0" fontId="0" fillId="2" borderId="11" xfId="0" applyFill="1" applyBorder="1"/>
    <xf numFmtId="0" fontId="0" fillId="2" borderId="3" xfId="0" applyFill="1" applyBorder="1" applyAlignment="1">
      <alignment horizontal="center" vertical="top"/>
    </xf>
    <xf numFmtId="0" fontId="18" fillId="2" borderId="1" xfId="2" applyFill="1" applyBorder="1" applyAlignment="1">
      <alignment horizontal="center" vertical="top"/>
    </xf>
    <xf numFmtId="0" fontId="18" fillId="0" borderId="0" xfId="2" applyAlignment="1">
      <alignment horizontal="center" vertical="top" wrapText="1"/>
    </xf>
    <xf numFmtId="0" fontId="0" fillId="2" borderId="3" xfId="0" applyFill="1" applyBorder="1" applyAlignment="1">
      <alignment horizontal="center" vertical="top" wrapText="1"/>
    </xf>
    <xf numFmtId="0" fontId="0" fillId="2" borderId="1" xfId="0" applyFill="1" applyBorder="1" applyAlignment="1">
      <alignment horizontal="center" vertical="top"/>
    </xf>
    <xf numFmtId="0" fontId="18" fillId="0" borderId="1" xfId="2" applyBorder="1" applyAlignment="1">
      <alignment horizontal="center" vertical="top"/>
    </xf>
    <xf numFmtId="0" fontId="0" fillId="0" borderId="0" xfId="0" applyAlignment="1">
      <alignment horizontal="center" vertical="top"/>
    </xf>
    <xf numFmtId="0" fontId="18" fillId="2" borderId="3" xfId="2" applyFill="1" applyBorder="1" applyAlignment="1">
      <alignment horizontal="left" vertical="top" wrapText="1"/>
    </xf>
    <xf numFmtId="11" fontId="18" fillId="2" borderId="3" xfId="2" applyNumberFormat="1" applyFill="1" applyBorder="1" applyAlignment="1">
      <alignment horizontal="left" vertical="top" wrapText="1"/>
    </xf>
    <xf numFmtId="0" fontId="12" fillId="4" borderId="8" xfId="0" applyFont="1" applyFill="1" applyBorder="1" applyAlignment="1">
      <alignment horizontal="left" vertical="top" wrapText="1"/>
    </xf>
    <xf numFmtId="0" fontId="12" fillId="4" borderId="0" xfId="0" applyFont="1" applyFill="1" applyAlignment="1">
      <alignment horizontal="left" vertical="top" wrapText="1"/>
    </xf>
    <xf numFmtId="0" fontId="12" fillId="4" borderId="9" xfId="0" applyFont="1" applyFill="1" applyBorder="1" applyAlignment="1">
      <alignment horizontal="left" vertical="top" wrapText="1"/>
    </xf>
    <xf numFmtId="0" fontId="12" fillId="4" borderId="8" xfId="0" applyFont="1" applyFill="1" applyBorder="1" applyAlignment="1">
      <alignment horizontal="left" vertical="top"/>
    </xf>
    <xf numFmtId="0" fontId="12" fillId="4" borderId="0" xfId="0" applyFont="1" applyFill="1" applyAlignment="1">
      <alignment horizontal="left" vertical="top"/>
    </xf>
    <xf numFmtId="0" fontId="12" fillId="4" borderId="9" xfId="0" applyFont="1" applyFill="1" applyBorder="1" applyAlignment="1">
      <alignment horizontal="left" vertical="top"/>
    </xf>
    <xf numFmtId="0" fontId="13" fillId="4" borderId="5" xfId="0" applyFont="1" applyFill="1" applyBorder="1" applyAlignment="1">
      <alignment horizontal="left" vertical="top" wrapText="1"/>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11" fillId="3" borderId="5" xfId="0" applyFont="1" applyFill="1" applyBorder="1" applyAlignment="1">
      <alignment horizontal="center"/>
    </xf>
    <xf numFmtId="0" fontId="11" fillId="3" borderId="6" xfId="0" applyFont="1" applyFill="1" applyBorder="1" applyAlignment="1">
      <alignment horizontal="center"/>
    </xf>
    <xf numFmtId="0" fontId="11" fillId="3" borderId="7" xfId="0" applyFont="1" applyFill="1" applyBorder="1" applyAlignment="1">
      <alignment horizontal="center"/>
    </xf>
    <xf numFmtId="0" fontId="12" fillId="3" borderId="8" xfId="0" applyFont="1" applyFill="1" applyBorder="1" applyAlignment="1">
      <alignment horizontal="left" vertical="top" wrapText="1"/>
    </xf>
    <xf numFmtId="0" fontId="12" fillId="3" borderId="0" xfId="0" applyFont="1" applyFill="1" applyAlignment="1">
      <alignment horizontal="left" vertical="top" wrapText="1"/>
    </xf>
    <xf numFmtId="0" fontId="12" fillId="3" borderId="9" xfId="0" applyFont="1" applyFill="1" applyBorder="1" applyAlignment="1">
      <alignment horizontal="left" vertical="top" wrapText="1"/>
    </xf>
    <xf numFmtId="0" fontId="0" fillId="3" borderId="0" xfId="0" applyFill="1" applyAlignment="1">
      <alignment horizontal="left" vertical="top" wrapText="1"/>
    </xf>
    <xf numFmtId="0" fontId="0" fillId="3" borderId="9" xfId="0" applyFill="1" applyBorder="1" applyAlignment="1">
      <alignment horizontal="left" vertical="top" wrapText="1"/>
    </xf>
    <xf numFmtId="0" fontId="0" fillId="4" borderId="8" xfId="0" applyFill="1" applyBorder="1" applyAlignment="1">
      <alignment horizontal="left" vertical="top" wrapText="1"/>
    </xf>
    <xf numFmtId="0" fontId="0" fillId="4" borderId="0" xfId="0" applyFill="1" applyAlignment="1">
      <alignment horizontal="left" vertical="top" wrapText="1"/>
    </xf>
    <xf numFmtId="0" fontId="0" fillId="4" borderId="9" xfId="0" applyFill="1" applyBorder="1" applyAlignment="1">
      <alignment horizontal="left" vertical="top" wrapText="1"/>
    </xf>
    <xf numFmtId="0" fontId="0" fillId="4" borderId="17" xfId="0" applyFill="1" applyBorder="1" applyAlignment="1">
      <alignment horizontal="left" vertical="top" wrapText="1"/>
    </xf>
    <xf numFmtId="0" fontId="0" fillId="4" borderId="16" xfId="0" applyFill="1" applyBorder="1" applyAlignment="1">
      <alignment horizontal="left" vertical="top" wrapText="1"/>
    </xf>
    <xf numFmtId="0" fontId="0" fillId="4" borderId="15" xfId="0" applyFill="1" applyBorder="1" applyAlignment="1">
      <alignment horizontal="left" vertical="top" wrapText="1"/>
    </xf>
    <xf numFmtId="0" fontId="13" fillId="3" borderId="5" xfId="0" applyFont="1" applyFill="1" applyBorder="1" applyAlignment="1">
      <alignment horizontal="left"/>
    </xf>
    <xf numFmtId="0" fontId="0" fillId="3" borderId="6" xfId="0" applyFill="1" applyBorder="1" applyAlignment="1">
      <alignment horizontal="left"/>
    </xf>
    <xf numFmtId="0" fontId="0" fillId="3" borderId="7" xfId="0" applyFill="1" applyBorder="1" applyAlignment="1">
      <alignment horizontal="left"/>
    </xf>
    <xf numFmtId="0" fontId="12" fillId="3" borderId="8" xfId="0" applyFont="1" applyFill="1" applyBorder="1" applyAlignment="1">
      <alignment horizontal="left" vertical="top"/>
    </xf>
    <xf numFmtId="0" fontId="0" fillId="3" borderId="0" xfId="0" applyFill="1" applyAlignment="1">
      <alignment horizontal="left" vertical="top"/>
    </xf>
    <xf numFmtId="0" fontId="0" fillId="3" borderId="9" xfId="0" applyFill="1" applyBorder="1" applyAlignment="1">
      <alignment horizontal="left" vertical="top"/>
    </xf>
    <xf numFmtId="0" fontId="12" fillId="3" borderId="8" xfId="0" applyFont="1" applyFill="1" applyBorder="1" applyAlignment="1">
      <alignment horizontal="left"/>
    </xf>
    <xf numFmtId="0" fontId="0" fillId="3" borderId="0" xfId="0" applyFill="1" applyAlignment="1">
      <alignment horizontal="left"/>
    </xf>
    <xf numFmtId="0" fontId="0" fillId="3" borderId="9" xfId="0" applyFill="1" applyBorder="1" applyAlignment="1">
      <alignment horizontal="left"/>
    </xf>
    <xf numFmtId="0" fontId="12" fillId="3" borderId="8" xfId="0" applyFont="1" applyFill="1" applyBorder="1" applyAlignment="1">
      <alignment horizontal="left" wrapText="1"/>
    </xf>
    <xf numFmtId="0" fontId="0" fillId="3" borderId="0" xfId="0" applyFill="1" applyAlignment="1">
      <alignment horizontal="left" wrapText="1"/>
    </xf>
    <xf numFmtId="0" fontId="0" fillId="3" borderId="9" xfId="0" applyFill="1" applyBorder="1" applyAlignment="1">
      <alignment horizontal="left" wrapText="1"/>
    </xf>
    <xf numFmtId="0" fontId="12" fillId="3" borderId="10" xfId="0" applyFont="1" applyFill="1" applyBorder="1" applyAlignment="1">
      <alignment horizontal="left"/>
    </xf>
    <xf numFmtId="0" fontId="0" fillId="3" borderId="11" xfId="0" applyFill="1" applyBorder="1" applyAlignment="1">
      <alignment horizontal="left"/>
    </xf>
    <xf numFmtId="0" fontId="0" fillId="3" borderId="12" xfId="0" applyFill="1" applyBorder="1" applyAlignment="1">
      <alignment horizontal="left"/>
    </xf>
    <xf numFmtId="0" fontId="0" fillId="0" borderId="0" xfId="0" applyAlignment="1">
      <alignment horizontal="center"/>
    </xf>
    <xf numFmtId="165" fontId="14" fillId="2" borderId="7" xfId="0" applyNumberFormat="1" applyFont="1" applyFill="1" applyBorder="1" applyAlignment="1">
      <alignment horizontal="center" vertical="center"/>
    </xf>
    <xf numFmtId="165" fontId="14" fillId="2" borderId="9" xfId="0" applyNumberFormat="1" applyFont="1" applyFill="1" applyBorder="1" applyAlignment="1">
      <alignment horizontal="center" vertical="center"/>
    </xf>
    <xf numFmtId="165" fontId="14" fillId="2" borderId="12" xfId="0" applyNumberFormat="1" applyFont="1" applyFill="1" applyBorder="1" applyAlignment="1">
      <alignment horizontal="center" vertical="center"/>
    </xf>
    <xf numFmtId="0" fontId="14" fillId="2" borderId="6" xfId="0" applyFont="1" applyFill="1" applyBorder="1" applyAlignment="1">
      <alignment horizontal="center" vertical="center"/>
    </xf>
    <xf numFmtId="0" fontId="14" fillId="2" borderId="0" xfId="0" applyFont="1" applyFill="1" applyAlignment="1">
      <alignment horizontal="center" vertical="center"/>
    </xf>
    <xf numFmtId="0" fontId="14" fillId="2" borderId="11" xfId="0" applyFont="1" applyFill="1" applyBorder="1" applyAlignment="1">
      <alignment horizontal="center" vertical="center"/>
    </xf>
    <xf numFmtId="0" fontId="0" fillId="2" borderId="34" xfId="0" applyFill="1" applyBorder="1" applyAlignment="1">
      <alignment horizontal="center"/>
    </xf>
  </cellXfs>
  <cellStyles count="3">
    <cellStyle name="Hipervínculo" xfId="2" builtinId="8"/>
    <cellStyle name="Normal" xfId="0" builtinId="0"/>
    <cellStyle name="Porcentaje" xfId="1" builtinId="5"/>
  </cellStyles>
  <dxfs count="34">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2" formatCode="0.00"/>
    </dxf>
    <dxf>
      <numFmt numFmtId="164" formatCode="0.0"/>
    </dxf>
    <dxf>
      <numFmt numFmtId="164" formatCode="0.0"/>
    </dxf>
    <dxf>
      <numFmt numFmtId="164" formatCode="0.0"/>
    </dxf>
    <dxf>
      <font>
        <sz val="9"/>
        <name val="Arial"/>
      </font>
      <numFmt numFmtId="0" formatCode="General"/>
      <alignment horizontal="left" vertical="top" wrapText="1"/>
    </dxf>
    <dxf>
      <font>
        <sz val="9"/>
        <name val="Arial"/>
      </font>
      <numFmt numFmtId="0" formatCode="General"/>
      <alignment horizontal="left" vertical="top" wrapText="1"/>
    </dxf>
    <dxf>
      <font>
        <sz val="9"/>
        <name val="Arial"/>
      </font>
      <numFmt numFmtId="0" formatCode="General"/>
      <alignment horizontal="left" vertical="top" wrapText="1"/>
    </dxf>
    <dxf>
      <font>
        <sz val="9"/>
        <name val="Arial"/>
      </font>
      <numFmt numFmtId="0" formatCode="General"/>
      <alignment horizontal="left" vertical="top" wrapText="1"/>
    </dxf>
    <dxf>
      <font>
        <sz val="9"/>
        <name val="Arial"/>
      </font>
      <numFmt numFmtId="0" formatCode="General"/>
      <alignment horizontal="left" vertical="top" wrapText="1"/>
    </dxf>
    <dxf>
      <font>
        <sz val="9"/>
        <name val="Arial"/>
      </font>
      <numFmt numFmtId="0" formatCode="General"/>
      <alignment horizontal="left" vertical="top" wrapText="1"/>
    </dxf>
    <dxf>
      <font>
        <sz val="9"/>
        <name val="Arial"/>
      </font>
      <alignment horizontal="left" vertical="top" wrapText="1"/>
    </dxf>
    <dxf>
      <font>
        <sz val="9"/>
        <name val="Arial"/>
      </font>
      <alignment horizontal="left" vertical="top" wrapText="1"/>
    </dxf>
    <dxf>
      <font>
        <sz val="9"/>
        <name val="Arial"/>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name val="Arial"/>
      </font>
      <alignment horizontal="left" vertical="top" wrapText="1"/>
      <border diagonalUp="0" diagonalDown="0">
        <left style="thin">
          <color rgb="FF000000"/>
        </left>
        <right style="thin">
          <color rgb="FF000000"/>
        </right>
        <top style="thin">
          <color rgb="FF000000"/>
        </top>
        <bottom style="thin">
          <color rgb="FF000000"/>
        </bottom>
        <vertical/>
        <horizontal/>
      </border>
    </dxf>
    <dxf>
      <font>
        <sz val="9"/>
        <name val="Arial"/>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name val="Arial"/>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name val="Arial"/>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rial"/>
        <scheme val="minor"/>
      </font>
      <alignment horizontal="left" vertical="top" textRotation="0" wrapText="1" indent="2"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theme="1"/>
        <name val="Arial"/>
        <scheme val="minor"/>
      </font>
      <alignment horizontal="left" vertical="top" textRotation="0" wrapText="1" indent="1"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theme="1"/>
        <name val="Arial"/>
        <scheme val="minor"/>
      </font>
      <alignment horizontal="left" vertical="top" textRotation="0" wrapText="1" indent="1"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theme="1"/>
        <name val="Arial"/>
        <scheme val="minor"/>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rial"/>
        <scheme val="minor"/>
      </font>
      <alignment horizontal="left" vertical="top" textRotation="0" wrapText="1" indent="1"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theme="1"/>
        <name val="Arial"/>
        <scheme val="minor"/>
      </font>
      <alignment horizontal="left" vertical="top" textRotation="0" wrapText="1" indent="1"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theme="1"/>
        <name val="Arial"/>
        <scheme val="minor"/>
      </font>
      <alignment horizontal="left" vertical="top" textRotation="0" wrapText="1" indent="1"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theme="1"/>
        <name val="Arial"/>
        <scheme val="minor"/>
      </font>
      <alignment horizontal="left" vertical="top" textRotation="0" wrapText="1" indent="1"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name val="Arial"/>
      </font>
      <alignment horizontal="left" vertical="top" textRotation="0" wrapText="1" indent="2" justifyLastLine="0" shrinkToFit="0" readingOrder="0"/>
      <border diagonalUp="0" diagonalDown="0">
        <left style="thin">
          <color rgb="FF000000"/>
        </left>
        <right style="thin">
          <color rgb="FF000000"/>
        </right>
        <top style="thin">
          <color rgb="FF000000"/>
        </top>
        <bottom/>
        <vertical/>
        <horizontal/>
      </border>
    </dxf>
    <dxf>
      <font>
        <sz val="9"/>
        <name val="Arial"/>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name val="Arial"/>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name val="Arial"/>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name val="Arial"/>
      </font>
      <alignment horizontal="left" vertical="top" wrapText="1"/>
    </dxf>
    <dxf>
      <font>
        <b val="0"/>
        <i val="0"/>
        <strike val="0"/>
        <condense val="0"/>
        <extend val="0"/>
        <outline val="0"/>
        <shadow val="0"/>
        <u val="none"/>
        <vertAlign val="baseline"/>
        <sz val="9"/>
        <color theme="1"/>
        <name val="Arial"/>
        <scheme val="minor"/>
      </font>
      <fill>
        <patternFill patternType="none">
          <fgColor indexed="64"/>
          <bgColor theme="2"/>
        </patternFill>
      </fill>
      <alignment horizontal="left" vertical="top"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RV" id="{33B54A24-039F-4BB3-9E8D-F6CB1AFA29D5}">
    <nsvFilter filterId="{759593F6-6243-43AD-AD47-152729DE82F9}" ref="A1:Y89" tableId="1">
      <sortRules>
        <sortRule colId="2" id="{4BD29056-6FEE-487A-8054-ED0E741D481D}">
          <sortCondition ref="C1:C89"/>
        </sortRule>
      </sortRules>
    </nsvFilter>
  </namedSheetView>
  <namedSheetView name="Gustavo" id="{7DBF5E9C-2C5D-4B6B-8644-DDC08787DB83}">
    <nsvFilter filterId="{759593F6-6243-43AD-AD47-152729DE82F9}" ref="A1:Y89" tableId="1">
      <columnFilter colId="8" id="{382FE4B4-09B1-4260-BCD9-355B57BFFB91}">
        <filter colId="8">
          <x:filters>
            <x:filter val="PM"/>
          </x:filters>
        </filter>
      </columnFilter>
      <columnFilter colId="12" id="{4EE96D08-4E83-4A30-96A8-100A698B0DD4}">
        <filter colId="12">
          <x:filters>
            <x:filter val="2"/>
          </x:filters>
        </filter>
      </columnFilter>
      <sortRules>
        <sortRule colId="0" id="{E2050E10-B06C-4FDB-B170-EDB2D65F31DC}">
          <sortCondition ref="A1:A89"/>
        </sortRule>
        <sortRule colId="2" id="{4BD29056-6FEE-487A-8054-ED0E741D481D}">
          <sortCondition ref="C1:C89"/>
        </sortRule>
      </sortRules>
    </nsvFilter>
  </namedSheetView>
  <namedSheetView name="Sha" id="{9EB568C9-B0C1-43EC-9DAC-5069D645E0BD}">
    <nsvFilter filterId="{759593F6-6243-43AD-AD47-152729DE82F9}" ref="A1:Y89" tableId="1">
      <columnFilter colId="0" id="{E2050E10-B06C-4FDB-B170-EDB2D65F31DC}">
        <filter colId="0">
          <x:filters>
            <x:filter val="P2P"/>
          </x:filters>
        </filter>
      </columnFilter>
      <columnFilter colId="8" id="{382FE4B4-09B1-4260-BCD9-355B57BFFB91}">
        <filter colId="8">
          <x:filters>
            <x:filter val="EWM"/>
          </x:filters>
        </filter>
      </columnFilter>
      <sortRules>
        <sortRule colId="0" id="{E2050E10-B06C-4FDB-B170-EDB2D65F31DC}">
          <sortCondition ref="A1:A89"/>
        </sortRule>
        <sortRule colId="2" id="{4BD29056-6FEE-487A-8054-ED0E741D481D}">
          <sortCondition ref="C1:C89"/>
        </sortRule>
      </sortRules>
    </nsvFilter>
  </namedSheetView>
</namedSheetViews>
</file>

<file path=xl/persons/person.xml><?xml version="1.0" encoding="utf-8"?>
<personList xmlns="http://schemas.microsoft.com/office/spreadsheetml/2018/threadedcomments" xmlns:x="http://schemas.openxmlformats.org/spreadsheetml/2006/main">
  <person displayName="Javier Soto" id="{62D0275A-884B-4CEC-BE99-86EF22CE6125}" userId="S::jsoto3@seidor.es::d6ee7f47-d2c3-4cf5-899a-4db00663425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01.715393981482" createdVersion="8" refreshedVersion="8" minRefreshableVersion="3" recordCount="88" xr:uid="{909E36E0-4E13-413A-A656-27430F5AE26B}">
  <cacheSource type="worksheet">
    <worksheetSource ref="A7:AD95" sheet="Evaluar"/>
  </cacheSource>
  <cacheFields count="28">
    <cacheField name="Proceso de negocio" numFmtId="0">
      <sharedItems count="88">
        <s v="CO-00_Estructura organizativa(CO_EO1)"/>
        <s v="CO-01_Administración de datos maestros de Controlling(CO_M010)"/>
        <s v="CO-02_Planificación de Ingresos, costos y gastos(CO_P010)"/>
        <s v="CO-03_Control de Ingresos, costos y gastos(CO_P020)"/>
        <s v="CO-04_Análisis de Rentabilidad(CO_P040)"/>
        <s v="CO-05_Reportes de Análisis(CO_P050)"/>
        <s v="CO-06_Cierre de Controlling(CO_P060)"/>
        <s v="CO-07_Costos de producción(CO_P030)"/>
        <s v="EWM-00_Estructura organizativa(EWM_EO1)"/>
        <s v="EWM-01_Administración de Datos Maestros(EWM_M010)"/>
        <s v="EWM-02_Procesos de entrada (EWM_P010)"/>
        <s v="EWM-03_Procesos de salida (EWM_P020)"/>
        <s v="EWM-04_Procesos internos (EWM_P030)"/>
        <s v="EWM-05_Inventario (EWM_P040)"/>
        <s v="FI-00_Estructura Organizativa(FI_EO1)"/>
        <s v="FI-01_Maestro de Contabilidad General(FI_M010)"/>
        <s v="FI-02_Maestro de Activos Fijos(FI_M020)"/>
        <s v="FI-03_Maestro de bancos(FI_M030)"/>
        <s v="FI-04_Contabilidad General(FI_P010)"/>
        <s v="FI-05_Cuentas por Pagar(FI_P020)"/>
        <s v="FI-06_Otras Cuentas por Pagar(FI_P021)"/>
        <s v="FI-07_Pago a Proveedores(FI_P022)"/>
        <s v="FI-08_Cuentas Por Cobrar(FI_P030)"/>
        <s v="FI-09_Gestión de Tesorería(FI_P040)"/>
        <s v="FI-10_Gestión de Activos Fijos(FI_P050)"/>
        <s v="FI-11_Cierre Contable(FI_P100)"/>
        <s v="FI-12_Gestión de Créditos(SD_P070)"/>
        <s v="MM-00_Estructura organizativa(MM_EO1)"/>
        <s v="MM-01_Maestro de materiales(MM_M010)"/>
        <s v="MM-03_Datos maestros de compras(MM_M020)"/>
        <s v="MM-10_Compras de stock(MM_P050)"/>
        <s v="MM-11_Compra de servicios(MM_P051)"/>
        <s v="MM-12_Compras de consumibles(MM_P051)"/>
        <s v="MM-13_Compras con contratos(MM_P052)"/>
        <s v="MM-14_Consignaciones(MM_P053)"/>
        <s v="MM-15_Subcontratación(MM_P054)"/>
        <s v="MM-20_Estrategias de liberación(MM_P030)"/>
        <s v="MM-40_Gestión de Stocks(MM_P060)"/>
        <s v="MM-50_Gestión de Inventarios(MM_P070)"/>
        <s v="PM-00_Estructura organizativa(PM_EO)"/>
        <s v="PM-01_Datos maestros de mantenimiento"/>
        <s v="PM-10_Mantenimiento correctivo(PM_P010)"/>
        <s v="PM-20_Mantenimiento preventivo (PM_P020)"/>
        <s v="PP-00_Estructura organizativa(PP_EO)"/>
        <s v="PP-01_Datos maestros de producción(PP_M010)"/>
        <s v="PP-10_Planificación de producción - MPS"/>
        <s v="PP-11_Evaluación de capacidades - CRP"/>
        <s v="PP-12_Planificación de necesidades(MM_P010)"/>
        <s v="PP-13_Planificación predictiva MRP"/>
        <s v="PP-14_Planificación basada en demanda - DDMRP"/>
        <s v="PP-15_Programación detallada de producción PPDS"/>
        <s v="PP-20_Fabricación contra stock - Discreta (PP_P020)"/>
        <s v="PP-21_Reprocesos - Discreta (PP_P021)"/>
        <s v="PP-22_Fabricación contra pedido - Discreta (PP_P022)"/>
        <s v="PP-23_Fabricación con co-productos - Discreta (PP_P023)"/>
        <s v="PP-24_Fabricación con subcontratación (PP_P024)"/>
        <s v="PP-30_Fabricación contra stock - Procesos (PP_P030)"/>
        <s v="PP-31_Reprocesos - Procesos (PP_P031)"/>
        <s v="PP-32_Fabricación contra pedido - Procesos (PP_P032)"/>
        <s v="PP-40_Fabricación contra Stock - Repetitiva (PP_P040)"/>
        <s v="PS-01_Datos Maestros de Proyectos(PS_M010)"/>
        <s v="PS-02_Planificación detallada del Proyecto(PS_P010)"/>
        <s v="PS-03_Presupuesto de proyectos(PS_P020)"/>
        <s v="PS-04_Ejecución de proyectos(PS_P030)"/>
        <s v="PS-05_Cierre tecnico y final(PS_P040)"/>
        <s v="PS-06_Reporte de proyectos(PS_P050)"/>
        <s v="QM-01_Datos maestros de calidad(QM_M010)"/>
        <s v="QM-02_Inspección de calidad en abastecimiento"/>
        <s v="QM-03_Gestión de calidad en producción (QM_P060)"/>
        <s v="QM-04_Gestión de calidad en almacenes (QM_P070)"/>
        <s v="QM-05_Gestión de reclamos a proveedores (QM_P080)"/>
        <s v="QM-06_Gestión de reclamos de clientes (QM_P081)"/>
        <s v="QM-07_Gestión de reclamos internos (QM_P082)"/>
        <s v="QM-08_Gestión de no-conformes (QM_P090)"/>
        <s v="SD-00_Estructura Organizativa(SD_EO)"/>
        <s v="SD-01_Administración de Datos Maestros de Business Partner(SD_M010)"/>
        <s v="SD-02_Datos Maestros de Precios y Condiciones(SD_M020)"/>
        <s v="SD-10_Venta de stock (SD_P010)"/>
        <s v="SD-11_Venta de servicios(SD_P020)"/>
        <s v="SD-12_Venta con Anticipos(SD_P012)"/>
        <s v="SD-13_Venta Calzada(SD_P013)"/>
        <s v="SD-14_Transferencia Gratuita y Donaciones(SD_P014)"/>
        <s v="SD-15_Venta intercompañía de materiales(SD_P015)"/>
        <s v="SD-16_Venta Intercompañia avanza(SD_P016)"/>
        <s v="SD-17_Consignaciones(SD_P0140)"/>
        <s v="SD-60_Contrato por Valor(SD_P060)"/>
        <s v="SD-70_Contrato por Cantidad(SD_P070)"/>
        <s v="SD-80_Gestión de reclamos(SD_P080)"/>
      </sharedItems>
    </cacheField>
    <cacheField name="Modulo" numFmtId="0">
      <sharedItems count="9">
        <s v="CO"/>
        <s v="EWM"/>
        <s v="FI"/>
        <s v="SD"/>
        <s v="MM"/>
        <s v="PM"/>
        <s v="PP"/>
        <s v="PS"/>
        <s v="QM"/>
      </sharedItems>
    </cacheField>
    <cacheField name="Actividades" numFmtId="0">
      <sharedItems containsMixedTypes="1" containsNumber="1" containsInteger="1" minValue="0" maxValue="0" longText="1"/>
    </cacheField>
    <cacheField name="Descripción" numFmtId="0">
      <sharedItems containsMixedTypes="1" containsNumber="1" containsInteger="1" minValue="0" maxValue="0" longText="1"/>
    </cacheField>
    <cacheField name="Variantes" numFmtId="0">
      <sharedItems containsMixedTypes="1" containsNumber="1" containsInteger="1" minValue="0" maxValue="0" longText="1"/>
    </cacheField>
    <cacheField name="Exclusiones" numFmtId="0">
      <sharedItems containsMixedTypes="1" containsNumber="1" containsInteger="1" minValue="0" maxValue="0"/>
    </cacheField>
    <cacheField name="QUAD-A" numFmtId="0">
      <sharedItems count="4">
        <s v="01 Adoptar"/>
        <s v="02 Ajustar"/>
        <s v="04 Abstener"/>
        <s v="03 Agregar"/>
      </sharedItems>
    </cacheField>
    <cacheField name="Complejidad" numFmtId="0">
      <sharedItems/>
    </cacheField>
    <cacheField name="GAP" numFmtId="0">
      <sharedItems containsBlank="1"/>
    </cacheField>
    <cacheField name="Discovery" numFmtId="0">
      <sharedItems containsString="0" containsBlank="1" containsNumber="1" minValue="0" maxValue="0.1875"/>
    </cacheField>
    <cacheField name="Prepare" numFmtId="0">
      <sharedItems containsMixedTypes="1" containsNumber="1" minValue="0" maxValue="0.6"/>
    </cacheField>
    <cacheField name="Explore" numFmtId="0">
      <sharedItems containsSemiMixedTypes="0" containsString="0" containsNumber="1" minValue="0" maxValue="3"/>
    </cacheField>
    <cacheField name="Realize" numFmtId="0">
      <sharedItems containsSemiMixedTypes="0" containsString="0" containsNumber="1" minValue="0" maxValue="6"/>
    </cacheField>
    <cacheField name="Deploy" numFmtId="0">
      <sharedItems containsSemiMixedTypes="0" containsString="0" containsNumber="1" minValue="0" maxValue="1.5"/>
    </cacheField>
    <cacheField name="Run" numFmtId="0">
      <sharedItems containsSemiMixedTypes="0" containsString="0" containsNumber="1" minValue="0" maxValue="1.5"/>
    </cacheField>
    <cacheField name="Semanas Prepare- Deploy" numFmtId="0">
      <sharedItems containsSemiMixedTypes="0" containsString="0" containsNumber="1" minValue="0" maxValue="11.1"/>
    </cacheField>
    <cacheField name="Prepare MIN " numFmtId="0">
      <sharedItems containsSemiMixedTypes="0" containsString="0" containsNumber="1" minValue="0" maxValue="0.25"/>
    </cacheField>
    <cacheField name="Explore MIN" numFmtId="0">
      <sharedItems containsSemiMixedTypes="0" containsString="0" containsNumber="1" minValue="0" maxValue="2"/>
    </cacheField>
    <cacheField name="Realize MIN" numFmtId="0">
      <sharedItems containsSemiMixedTypes="0" containsString="0" containsNumber="1" minValue="0" maxValue="4"/>
    </cacheField>
    <cacheField name="Deploy MIN" numFmtId="0">
      <sharedItems containsSemiMixedTypes="0" containsString="0" containsNumber="1" minValue="0" maxValue="1"/>
    </cacheField>
    <cacheField name="Run MIN" numFmtId="0">
      <sharedItems containsSemiMixedTypes="0" containsString="0" containsNumber="1" minValue="0" maxValue="1"/>
    </cacheField>
    <cacheField name="Semanas Prepare- Deploy MIN" numFmtId="0">
      <sharedItems containsSemiMixedTypes="0" containsString="0" containsNumber="1" minValue="0" maxValue="7.25"/>
    </cacheField>
    <cacheField name="Prepare PROM" numFmtId="0">
      <sharedItems containsMixedTypes="1" containsNumber="1" minValue="0" maxValue="0.42499999999999999"/>
    </cacheField>
    <cacheField name="Explore PROM" numFmtId="0">
      <sharedItems containsSemiMixedTypes="0" containsString="0" containsNumber="1" minValue="0" maxValue="2.5"/>
    </cacheField>
    <cacheField name="Realize PROM" numFmtId="0">
      <sharedItems containsSemiMixedTypes="0" containsString="0" containsNumber="1" minValue="0" maxValue="5"/>
    </cacheField>
    <cacheField name="Deploy PROM" numFmtId="0">
      <sharedItems containsSemiMixedTypes="0" containsString="0" containsNumber="1" minValue="0" maxValue="1.25"/>
    </cacheField>
    <cacheField name="Run2" numFmtId="0">
      <sharedItems containsSemiMixedTypes="0" containsString="0" containsNumber="1" minValue="0" maxValue="1.25"/>
    </cacheField>
    <cacheField name="Semanas Prepare- Deploy2" numFmtId="0">
      <sharedItems containsMixedTypes="1" containsNumber="1" minValue="0" maxValue="9.17500000000000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x v="0"/>
    <x v="0"/>
    <s v="Sociedad CO._x000a_Sociedad PA._x000a_Jerarquía de Centros de Beneficio_x000a_Jerarquía de Centros de Costos"/>
    <s v="En la estructura SAP representa la vista jurídica u organizativa de una empresa como los niveles de la organización. La misma que, corresponde a un requisito esencial tanto para los datos maestros; como para definir, los procesos esenciales. A través de los objetos de costo en dicha estructura; posteriormente, se realizaran las  contabilizaciones en las cuentas de ingresos y gastos."/>
    <n v="0"/>
    <s v="* No se puede cambiar la moneda CO ni PA luego de tener movimientos"/>
    <x v="0"/>
    <s v="01 Baja"/>
    <m/>
    <m/>
    <s v=" "/>
    <n v="0.15"/>
    <n v="0.15"/>
    <n v="0"/>
    <n v="0"/>
    <n v="0.3"/>
    <n v="2.5000000000000001E-2"/>
    <n v="0.1"/>
    <n v="0.1"/>
    <n v="0"/>
    <n v="0"/>
    <n v="0.22500000000000001"/>
    <e v="#VALUE!"/>
    <n v="0.125"/>
    <n v="0.125"/>
    <n v="0"/>
    <n v="0"/>
    <e v="#VALUE!"/>
  </r>
  <r>
    <x v="1"/>
    <x v="0"/>
    <s v="Gestión de Centros de Beneficio._x000a_Gestión de Centros de Costos._x000a_Gestión de clases de costo._x000a_Gestión de valores estadísticos._x000a_Gestión de órdenes internas."/>
    <s v="Corresponden a los datos que contienen información relevante para los procesos de la empresa y se encuentran almacenados de forma centralizada, para evitar redundancias y son empleadas por las diversas aplicaciones. _x000a_En la contabilidad de costos tenemos:_x000a__x000a_- Centro de beneficio: Es una unidad organizativa de finanzas que refleja una estructura de la empresa orientada hacia la gestión. Se pueden analizar los resultados operativos con la vinculación a las cuentas de resultado._x000a_- Centro de Costos: Es una unidad organizativa de controlling que representa una ubicación delimitada donde se generan los costes._x000a_- Gestión de clases de costo: Este maestro comprenden a las cuentas de resultado que tienen injerencia en la contabilidad de costos interna y que se requieren, para realizar los procesos en controlling._x000a_- Los valores estadísticos representan los drivers o inductores para distribuir los gastos._x000a_- Órdenes internas: Son colectores de costos que permiten acumular costos de eventos específicos, campañas, inversiones, etc."/>
    <s v="* Crear varios tipos de Ordenes Internas"/>
    <s v="* La data maestra luego de tener movimiento no puede ser eliminada_x000a_"/>
    <x v="0"/>
    <s v="02 Media"/>
    <s v="Detalle de asignación de los costos para la operación en planta y en campo."/>
    <m/>
    <n v="5.6250000000000001E-2"/>
    <n v="0.45"/>
    <n v="0.45"/>
    <n v="0.45"/>
    <n v="0"/>
    <n v="1.40625"/>
    <n v="3.7499999999999999E-2"/>
    <n v="0.3"/>
    <n v="0.3"/>
    <n v="0.3"/>
    <n v="0"/>
    <n v="0.9375"/>
    <n v="4.6875E-2"/>
    <n v="0.375"/>
    <n v="0.375"/>
    <n v="0.375"/>
    <n v="0"/>
    <n v="1.171875"/>
  </r>
  <r>
    <x v="2"/>
    <x v="0"/>
    <s v="Planificación de ingresos, costos y gastos, por centro de beneficio y centro de costos. _x000a_Planificación de órdenes internas."/>
    <s v="Controlling permite planificar la estructura de costos y gastos de las futuras operaciones de la empresa para períodos determinados y efectuar comparaciones Real / Plan para su control."/>
    <s v="* Cargar diferentes Versione de planificación_x000a_* Copiar de Real a  Versión Plan_x000a_* Copiar de Vérsión Plan a Versión  Plan"/>
    <s v="* El cálculo de planificación es por fuera de SAP_x000a_* La planificación no es restrictiva solo informativa_x000a_* Se puede planificar a nivel de ceco + clase de coste"/>
    <x v="0"/>
    <s v="01 Baja"/>
    <m/>
    <n v="3.7499999999999999E-2"/>
    <n v="7.4999999999999997E-2"/>
    <n v="0.6"/>
    <n v="1.2"/>
    <n v="0.3"/>
    <n v="0.3"/>
    <n v="2.1749999999999998"/>
    <n v="0.05"/>
    <n v="0.4"/>
    <n v="0.8"/>
    <n v="0.2"/>
    <n v="0.2"/>
    <n v="1.45"/>
    <n v="6.25E-2"/>
    <n v="0.5"/>
    <n v="1"/>
    <n v="0.25"/>
    <n v="0.25"/>
    <n v="1.8125"/>
  </r>
  <r>
    <x v="3"/>
    <x v="0"/>
    <s v="Imputación real a cuentas de ingresos, costos y gastos._x000a_Gestión de órdenes internas de gastos y de inversión._x000a_Creación de ciclos de distribución y de subreparto._x000a_"/>
    <s v="Comprende los distintos procesos por los cuales se registran imputaciones reales en las cuentas contables de costos, gastos, ingresos e inversión, ya sea por medio de centros de costos, centros de beneficio u órdenes internas. _x000a_La ordenes internas son objetos de costos que se usan para identificar operaciones específicas y temporales con el fin de facilitar un análisis. Estas se aplican para controlar proyectos, campañas, obras en curso, etc._x000a_Los ciclos de distribución y/o subreparto sirven para distribuir o trasladar los costos de objetos de costos origen a objetos de costos destino. El ciclo de distribución traslada a través de la misma clase de costo, mientras el subreparto requiere de la clase de coste secundaria."/>
    <s v="* Imputaciones a cecos _x000a_* Imputaciones a diferentes clase de Ordenes ( Inversión,  reales , estadisticas)_x000a_* Ciclos de distribución con diferentes metodos ( % , VE, Importe Fijo , etc)_x000a_* Ciclos de Subreparto diferentes métodos  ( % , VE , importe Fijo , Etc)"/>
    <s v="* Los Drivers de los ciclos de distribución y subreparto no son automaticos ; si se define que el valor es mensual entonces se debe actualizar ._x000a_* Todo objeto de costo con movimiento no puede ser eliminado."/>
    <x v="0"/>
    <s v="02 Media"/>
    <s v="Revisión de driver para operaciones en planta y campo."/>
    <n v="5.6250000000000001E-2"/>
    <n v="0.1125"/>
    <n v="0.9"/>
    <n v="1.8"/>
    <n v="0.45"/>
    <n v="0.45"/>
    <n v="3.2625000000000002"/>
    <n v="7.4999999999999997E-2"/>
    <n v="0.6"/>
    <n v="1.2"/>
    <n v="0.3"/>
    <n v="0.3"/>
    <n v="2.1749999999999998"/>
    <n v="9.375E-2"/>
    <n v="0.75"/>
    <n v="1.5"/>
    <n v="0.375"/>
    <n v="0.375"/>
    <n v="2.71875"/>
  </r>
  <r>
    <x v="4"/>
    <x v="0"/>
    <s v="Definición características CO-PA._x000a_Subreparto de gastos."/>
    <s v="Es una herramienta que brinda SAP, para ayudar a las empresas a evaluar su rentabilidad mediante sus segmentos de mercado a partir de sus ventas, ganancias/pérdidas e información proveniente de otros módulos como finanzas, ventas y logística. Se tienen características como canal de ventas, línea de negocio, oficina de ventas, cliente, material, etc. dicha información puede ser analizada por periodos, ejercicio."/>
    <s v="* COPA - Análitico_x000a_* COPA - Contable_x000a_* Agregar caracteristicas Z*_x000a_* Agregar caracteristicas despues de la activación de COPA_x000a_* Ciclos de Subreparto de PA_x000a_* Ejecución del TOP- DOW"/>
    <s v="* COPA - Análitico ; existe la posibilidad que no cuadre exacto con la contabilidad ya que se usa para gestión _x000a_* Los drivers del ciclo de subreparto no son automaticos ."/>
    <x v="0"/>
    <s v="01 Baja"/>
    <m/>
    <n v="3.7499999999999999E-2"/>
    <n v="7.4999999999999997E-2"/>
    <n v="0.6"/>
    <n v="1.2"/>
    <n v="0.3"/>
    <n v="0.3"/>
    <n v="2.1749999999999998"/>
    <n v="0.05"/>
    <n v="0.4"/>
    <n v="0.8"/>
    <n v="0.2"/>
    <n v="0.2"/>
    <n v="1.45"/>
    <n v="6.25E-2"/>
    <n v="0.5"/>
    <n v="1"/>
    <n v="0.25"/>
    <n v="0.25"/>
    <n v="1.8125"/>
  </r>
  <r>
    <x v="5"/>
    <x v="0"/>
    <s v="Reportes de Rentabilidad._x000a_Elaboración de reportes de gestión._x000a_Elaboración de estados financieros internos."/>
    <s v="Se refiere a los reportes de gastos por centros de costos, reportes de márgenes (por sociedad, unidad de  negocio, etc.) y de estados financieros internos, por medio de la herramienta Report Painter. "/>
    <n v="0"/>
    <s v="* Los reportes son Report Writer no se pueden transformar en ALV"/>
    <x v="0"/>
    <s v="01 Baja"/>
    <m/>
    <n v="3.7499999999999999E-2"/>
    <n v="0.15"/>
    <n v="0.15"/>
    <n v="0.6"/>
    <n v="0"/>
    <n v="0.3"/>
    <n v="0.89999999999999991"/>
    <n v="0.05"/>
    <n v="0.1"/>
    <n v="0.4"/>
    <n v="0"/>
    <n v="0.2"/>
    <n v="0.55000000000000004"/>
    <n v="0.1"/>
    <n v="0.125"/>
    <n v="0.5"/>
    <n v="0"/>
    <n v="0.25"/>
    <n v="0.72499999999999998"/>
  </r>
  <r>
    <x v="6"/>
    <x v="0"/>
    <s v="Análisis de ingresos en centros de beneficio._x000a_Análisis de costos y gastos en centros de costo y órdenes._x000a_Liquidación de ordenes internas._x000a_Ejecución de Distribución / Subreparto de gasto."/>
    <s v="En el cierre de Controlling, se tienen los siguientes eventos:_x000a__x000a_- Análisis de ingresos en centros de beneficio: El proceso de análisis de los ingresos debe ser periodico durante el mes._x000a_- Análisis de costos y gastos en centros de costo y órdenes: El proceso de análisis de los costos y gastos deben ser periodicos durante el mes._x000a_- Liquidación de las ordenes internas: Las ordenes son acumuladores de gasto temporales por lo que en el cierre del periodo se debe realizar el proceso de liquidación con el objetivo que queden en cero._x000a_- Ejecución de distribución / subreparto de gasto: Este proceso comprende a las distribuciones de gastos operativos entre las unidades de negocio o según el modelo/criterio que determine la empresa."/>
    <n v="0"/>
    <n v="0"/>
    <x v="0"/>
    <s v="03 Alta"/>
    <s v="El cierre de costos debe contemplar las actividades propias de campo y planta. Considerando que en campo existen otros procedimientos para el costeo de la producción."/>
    <n v="7.4999999999999997E-2"/>
    <n v="0.3"/>
    <n v="1.2"/>
    <n v="2.4"/>
    <n v="0.6"/>
    <n v="0.6"/>
    <n v="4.5"/>
    <n v="0.1"/>
    <n v="0.8"/>
    <n v="1.6"/>
    <n v="0.4"/>
    <n v="0.4"/>
    <n v="2.9"/>
    <n v="0.2"/>
    <n v="1"/>
    <n v="2"/>
    <n v="0.5"/>
    <n v="0.5"/>
    <n v="3.7"/>
  </r>
  <r>
    <x v="7"/>
    <x v="0"/>
    <n v="0"/>
    <n v="0"/>
    <n v="0"/>
    <n v="0"/>
    <x v="1"/>
    <s v="03 Alta"/>
    <s v="Modelamiento del costo de producción en campo."/>
    <n v="0.1125"/>
    <n v="0.45"/>
    <n v="1.8"/>
    <n v="3.6"/>
    <n v="0.9"/>
    <n v="0.9"/>
    <n v="6.75"/>
    <n v="0.15"/>
    <n v="1.2"/>
    <n v="2.4"/>
    <n v="0.6"/>
    <n v="0.6"/>
    <n v="4.3499999999999996"/>
    <n v="0.3"/>
    <n v="1.5"/>
    <n v="3"/>
    <n v="0.75"/>
    <n v="0.75"/>
    <n v="5.55"/>
  </r>
  <r>
    <x v="8"/>
    <x v="1"/>
    <s v="Número de almacén_x000a_Tipos de almacén_x000a_Áreas de almacenamiento"/>
    <s v="Se detallan los niveles en los que se subdivide centro de distribución "/>
    <n v="0"/>
    <n v="0"/>
    <x v="2"/>
    <s v="01 Baja"/>
    <m/>
    <n v="0"/>
    <n v="7.4999999999999997E-2"/>
    <n v="0"/>
    <n v="0"/>
    <n v="0"/>
    <n v="0"/>
    <n v="7.4999999999999997E-2"/>
    <n v="0"/>
    <n v="0"/>
    <n v="0"/>
    <n v="0"/>
    <n v="0"/>
    <n v="0"/>
    <n v="3.7499999999999999E-2"/>
    <n v="0"/>
    <n v="0"/>
    <n v="0"/>
    <n v="0"/>
    <n v="3.7499999999999999E-2"/>
  </r>
  <r>
    <x v="9"/>
    <x v="1"/>
    <s v="Ampliación de materiales:_x000a_Indicadores de tipo de almacén_x000a_Indicadores de área de almacenamiento"/>
    <s v="Se actualiza la información del material para colocarle los indicadores correspondientes a ingreso y salida."/>
    <n v="0"/>
    <n v="0"/>
    <x v="2"/>
    <s v="01 Baja"/>
    <m/>
    <n v="0"/>
    <n v="7.4999999999999997E-2"/>
    <n v="0"/>
    <n v="0"/>
    <n v="0"/>
    <n v="0"/>
    <n v="7.4999999999999997E-2"/>
    <n v="0"/>
    <n v="0"/>
    <n v="0"/>
    <n v="0"/>
    <n v="0"/>
    <n v="0"/>
    <n v="3.7499999999999999E-2"/>
    <n v="0"/>
    <n v="0"/>
    <n v="0"/>
    <n v="0"/>
    <n v="3.7499999999999999E-2"/>
  </r>
  <r>
    <x v="10"/>
    <x v="1"/>
    <s v="Orden de compra o ingreso directo:_x000a_Generación de la entrega entrante_x000a_Modificación de la entrega/contabilización_x000a_Creación de la orden de almacén_x000a_Confirmación de de la orden"/>
    <s v="El proceso de ingreso permite brindar soporte a las actividades ejecutadas desde la recepción de la mercadería hasta la colocación de los materiales en la ubicación final"/>
    <s v="- Ingreso por compra_x000a_- Ingreso directo sin pedido_x000a_- Ingreso por traslado"/>
    <n v="0"/>
    <x v="2"/>
    <s v="01 Baja"/>
    <m/>
    <n v="0"/>
    <n v="0.4"/>
    <n v="0"/>
    <n v="0"/>
    <n v="0"/>
    <n v="0"/>
    <n v="0.4"/>
    <n v="0"/>
    <n v="0"/>
    <n v="0"/>
    <n v="0"/>
    <n v="0"/>
    <n v="0"/>
    <n v="0.2"/>
    <n v="0"/>
    <n v="0"/>
    <n v="0"/>
    <n v="0"/>
    <n v="0.2"/>
  </r>
  <r>
    <x v="11"/>
    <x v="1"/>
    <s v="Pedido de venta o salida directa:_x000a_Generación de la entrega de salida_x000a_Creación de la orden de almacén_x000a_Confirmación de de la orden_x000a_Contabilización de la entrega de salida"/>
    <s v="El proceso de salida permite brindar soporte a las actividades ejecutadas desde la extracción de la recepción de la mercadería hasta la colocación de los materiales en la ubicación final"/>
    <s v="-Salida por venta_x000a_-Salida por consumo directo_x000a_-Salida por traslado"/>
    <n v="0"/>
    <x v="2"/>
    <s v="01 Baja"/>
    <m/>
    <n v="0"/>
    <n v="0.375"/>
    <n v="0"/>
    <n v="0"/>
    <n v="0"/>
    <n v="0"/>
    <n v="0.375"/>
    <n v="0"/>
    <n v="0"/>
    <n v="0"/>
    <n v="0"/>
    <n v="0"/>
    <n v="0"/>
    <n v="0.1875"/>
    <n v="0"/>
    <n v="0"/>
    <n v="0"/>
    <n v="0"/>
    <n v="0.1875"/>
  </r>
  <r>
    <x v="12"/>
    <x v="1"/>
    <s v="Cambio de ubicación individual_x000a_Cambio de ubicaión masivo_x000a_Cambio de tipo de stock"/>
    <s v="Los procesos dentro del almacén pueden ser mapeados a detalle en el sistema para reflejar los cambios de ubicación y/o tipos de stock"/>
    <s v="-Cambio de ubicación individual_x000a_-Cambio de ubicación masivo_x000a_-Cambio de tipo de stock"/>
    <n v="0"/>
    <x v="2"/>
    <s v="01 Baja"/>
    <m/>
    <n v="0"/>
    <n v="0.375"/>
    <n v="0"/>
    <n v="0"/>
    <n v="0"/>
    <n v="0"/>
    <n v="0.375"/>
    <n v="0"/>
    <n v="0"/>
    <n v="0"/>
    <n v="0"/>
    <n v="0"/>
    <n v="0"/>
    <n v="0.1875"/>
    <n v="0"/>
    <n v="0"/>
    <n v="0"/>
    <n v="0"/>
    <n v="0.1875"/>
  </r>
  <r>
    <x v="13"/>
    <x v="1"/>
    <s v="Toma de inventario por material_x000a_Toma de inventario por ubicación"/>
    <s v="Proceso de conteo de materiales y/o ubicaciones con mayor precisión"/>
    <s v="-Toma de inventario por material sin diferencia_x000a_-Tomoa de inventario por ubicación con diferencia"/>
    <n v="0"/>
    <x v="2"/>
    <s v="01 Baja"/>
    <m/>
    <n v="0"/>
    <n v="0.375"/>
    <n v="0"/>
    <n v="0"/>
    <n v="0"/>
    <n v="0"/>
    <n v="0.375"/>
    <n v="0"/>
    <n v="0"/>
    <n v="0"/>
    <n v="0"/>
    <n v="0"/>
    <n v="0"/>
    <n v="0.1875"/>
    <n v="0"/>
    <n v="0"/>
    <n v="0"/>
    <n v="0"/>
    <n v="0.1875"/>
  </r>
  <r>
    <x v="14"/>
    <x v="2"/>
    <s v="Sociedad FI_x000a_Variante de ejercicio_x000a_Variante de periodos_x000a_Plan de cuentas_x000a_Clase de cuentas_x000a_Definición de monedas_x000a_Clases de documentos_x000a_Claves de contabilización_x000a_Documento financiero_x000a_Tipo de cambio_x000a_Ledgers paralelos_x000a_Sociedad GL"/>
    <s v="La estructura organizativa representa la vista jurídica u organizativa de la empresa y corresponde a un requisito esencial tanto para la determinación de los datos maestros, como para los procesos a definir en la empresa._x000a__x000a_Asi mismo, abarca la definción de conceptos escenciales para dar soporte a los procesos contables. Por ejemplo, conceptos como: las Clases de documento, variante de ejercicio, variante de periodos, Claves de contabiización y otros. "/>
    <s v="- Las Sociedades FI pueden estar sujetas a alguna caracteristicas desde su creación por ejemplo:_x000a_        a) Plan de Cuentas Operativo y Plan de Cuentas País   ( Se define en Base a la Sociedad Matriz o Grupo )"/>
    <s v="&quot;Revalorización en modena extranjera&quot; Caso que se generea ingreso o gasto que de manera automática se imputa a un cebe o ceco."/>
    <x v="0"/>
    <s v="01 Baja"/>
    <m/>
    <n v="3.7499999999999999E-2"/>
    <n v="3.7499999999999999E-2"/>
    <n v="0.15"/>
    <n v="0.15"/>
    <n v="0"/>
    <n v="0"/>
    <n v="0.33750000000000002"/>
    <n v="2.5000000000000001E-2"/>
    <n v="0.1"/>
    <n v="0.1"/>
    <n v="0"/>
    <n v="0"/>
    <n v="0.22500000000000001"/>
    <n v="3.125E-2"/>
    <n v="0.125"/>
    <n v="0.125"/>
    <n v="0"/>
    <n v="0"/>
    <n v="0.28125"/>
  </r>
  <r>
    <x v="15"/>
    <x v="2"/>
    <s v="Plan de cuentas Operativo_x000a_-Segmento de Plan de Cuentas_x000a_-Segmento de Sociedad_x000a_Reportes"/>
    <s v="El maestro del Plan de Cuentas, agrupa la totalidad de las cuentas de mayor de la organización. En SAP, una sociedad puede gestionar tres planes de cuentas:_x000a__x000a_- Plan de cuentas operativo (es indispensable)._x000a_- Plan de cuentas de grupo._x000a_- Plan de cuentas del país"/>
    <s v="1) Manejar en la Sociedad solo con el Plan Contable Operativo ( ejemplo :PCGE )_x000a_2) Manejar en la Sociedad Plan Contable Operativo y Alternativo ( ejemplo : CAPE (Opeativo ) y Alternativo PCGE  ( Local )_x000a_3) Opcional manejar Plan de Cuenta Grupo"/>
    <n v="0"/>
    <x v="0"/>
    <s v="01 Baja"/>
    <m/>
    <n v="3.7499999999999999E-2"/>
    <n v="7.4999999999999997E-2"/>
    <n v="0.3"/>
    <n v="0.3"/>
    <n v="0.3"/>
    <n v="0"/>
    <n v="0.97500000000000009"/>
    <n v="2.5000000000000001E-2"/>
    <n v="0.2"/>
    <n v="0.2"/>
    <n v="0.2"/>
    <n v="0"/>
    <n v="0.625"/>
    <n v="0.05"/>
    <n v="0.25"/>
    <n v="0.25"/>
    <n v="0.25"/>
    <n v="0"/>
    <n v="0.8"/>
  </r>
  <r>
    <x v="16"/>
    <x v="2"/>
    <s v="Maestro de Activos Fijos"/>
    <s v="El maestro de activos fijos centraliza la administración de los activos fijos mediante la creación y mantenimiento de códigos únicos de AF. Bajos los cuales se contabilizan las altas, bajas, traslados, depreciación u otras operaciones. Los códigos de activos fijos dan soporte a los procesos de activos fijos y permite un análisis contable por código de activo. "/>
    <s v="1) Manejar diferentes Areas de Valoración para su tratamiento Contable,Tributario o de Revaluaciones_x000a_2) Manejar diferentes tipos de Clave de Amortización : Ejemplo Lineal o por Unidades Producidas. _x000a_3) Llevar el control de las Altas, Bajas y traspasos de las diferentes clases de activos dependiendo de sus Vida Utiles"/>
    <n v="0"/>
    <x v="1"/>
    <s v="02 Media"/>
    <s v="Activos fijos en curso en Campo"/>
    <n v="8.4375000000000006E-2"/>
    <n v="0.16875000000000001"/>
    <n v="0.67500000000000004"/>
    <n v="0.67500000000000004"/>
    <n v="0.67500000000000004"/>
    <n v="0"/>
    <n v="2.1937500000000001"/>
    <n v="5.6250000000000001E-2"/>
    <n v="0.45"/>
    <n v="0.45"/>
    <n v="0.45"/>
    <n v="0"/>
    <n v="1.40625"/>
    <n v="0.1125"/>
    <n v="0.5625"/>
    <n v="0.5625"/>
    <n v="0.5625"/>
    <n v="0"/>
    <n v="1.8"/>
  </r>
  <r>
    <x v="17"/>
    <x v="2"/>
    <s v="Maestro de Bancos_x000a_Bancos propios_x000a_Cuentas bancarias"/>
    <s v="Con la gestión de cuentas bancarias el área de tesorería puede centralizar la gestión de cuentas bancarias utilizando los datos maestros de cuentas bancarias. "/>
    <s v="1) Crear Bancos País _x000a_2) Crear Bancos Propios_x000a_3) Crear Cuentas Bancarias de Bancos Propios."/>
    <n v="0"/>
    <x v="0"/>
    <s v="01 Baja"/>
    <m/>
    <n v="3.7499999999999999E-2"/>
    <n v="0.1"/>
    <n v="0.3"/>
    <n v="0.3"/>
    <n v="0.3"/>
    <n v="0"/>
    <n v="1"/>
    <n v="2.5000000000000001E-2"/>
    <n v="0.2"/>
    <n v="0.2"/>
    <n v="0.2"/>
    <n v="0"/>
    <n v="0.625"/>
    <n v="6.25E-2"/>
    <n v="0.25"/>
    <n v="0.25"/>
    <n v="0.25"/>
    <n v="0"/>
    <n v="0.8125"/>
  </r>
  <r>
    <x v="18"/>
    <x v="2"/>
    <s v="Registro de Asientos de Diario_x000a_Registro de Asientos de provisiones_x000a_Asientos periódicos_x000a_Anulación de registros_x000a_Desglose de documentos_x000a_Reportes"/>
    <s v="En SAP S/4HANA este proceso proporciona soporte a la gestión de la información financiera referida a la evaluación y generación de los reportes de resultados y de cuentas de balance. Por lo que, permite la emisión de documentos de contabilidad general, como asientos diarios o asientos periódicos. "/>
    <s v="1) Provisiones y Extornos   ( Afectos o Inafectos )  _x000a_2) Reclasificaciones_x000a_2) Asientos Periodicos por concepto de Alquileres_x000a_3) Anulaciones de documentos."/>
    <n v="0"/>
    <x v="0"/>
    <s v="01 Baja"/>
    <m/>
    <n v="3.7499999999999999E-2"/>
    <n v="0.2"/>
    <n v="0.6"/>
    <n v="1.2"/>
    <n v="0.3"/>
    <n v="0.3"/>
    <n v="2.2999999999999998"/>
    <n v="0.05"/>
    <n v="0.4"/>
    <n v="0.8"/>
    <n v="0.2"/>
    <n v="0.2"/>
    <n v="1.45"/>
    <n v="0.125"/>
    <n v="0.5"/>
    <n v="1"/>
    <n v="0.25"/>
    <n v="0.25"/>
    <n v="1.875"/>
  </r>
  <r>
    <x v="19"/>
    <x v="2"/>
    <s v="Maestro de Interlocutor Comercial (Acreedores o Proveedores)_x000a_Registro de Facturas y otros Comprobantes de Proveedor_x000a_- Registro de Comprobantes por Finanzas (FI)_x000a_- Registro de Comprobantes Con Orden de Compra (MM)_x000a_Indicadores de impuestos Compras_x000a_Percepciones por compra_x000a_Registro de Comprobantes de Importación de bienes_x000a_Registro de IGV no domiciliado_x000a_Solicitudes de Anticipo Acreedor_x000a_Retenciones en la factura_x000a_- Detracciones de IGV_x000a_- Retenciones no Domiciliados_x000a_- Retenciones dietas_x000a_Retenciones en el pago_x000a_- Retenciones de IGV_x000a_- Retenciones de 4ta categoría_x000a_Anulación de Registro_x000a_Registros preliminares_x000a_Cuenta de mayor especial (CME)_x000a_Compensaciones_x000a_- Con anticipos_x000a_- Con N/D y N/C_x000a_- Canje de letras_x000a_- Factura Negociable_x000a_o_x0009_Factoring_x000a_o_x0009_Compensación Deudor/Acreedor_x000a_o_x0009_Anulación de compensación_x000a_Reportes"/>
    <s v="El proceso de cuentas por pagar comprende básicamente la contabilidad en acreedores producto de las operaciones de adquisición de bienes o servicios que generen una obligación de pago. _x000a_Los acreedores cuentan con un código único en el maestro de Business Partner bajo el cual se registran sus operaciones y permiten el análisis auxiliar por cuenta acreedora. _x000a_Así mismo se contabilizan facturas y abonos, se registran pagos y anticipos, se gestionan los valores entregados como medios de pago y al contabilizar datos en acreedores, el sistema crea un documento contable y transfiere los datos introducidos al libro mayor y según corresponda al Libro de Compras. "/>
    <s v="1)  Registro de Comprobantes por Finanzas ( Todos los documentos SUNAT )_x000a_2) Registro de Comprobantes usando los diferentes tipos de Indicadores de Impuestos._x000a_3) Registro de FActura de No Domiciliado , Provisión IGV No Domiciliado y Extorno provisión IGV_x000a_4) Registro de Formulario de Declaración - pago o Boleta de pago de tributos Internos _x000a_5) Generar Solicitudes de Anticipo y su respectiva Contabilización._x000a_6) Anulaciones de Registros o Comprobantes_x000a_7) Creación de documentos preliminares antes de su contabilización_x000a_8) Redireccionamiento de Cuentas a través del uso del CME _x000a_9) Compensaciones Parciales o Totales de la cuentas por pagar.  Letras, Factura Negociable y Facttoring_x000a_10) Compensaciones entre Deudores(CXC) y Acreedores ( CXP)_x000a_11) Descompesación de documentos de pago"/>
    <s v="Los indicadores de impuestos están asociado al IGV. No está considerado otro tipo de impuesto como ISC, impuestos especiales de sectores industriales, FISE, Rodamiento, impuestos a los plásticos, etc"/>
    <x v="0"/>
    <s v="01 Baja"/>
    <m/>
    <n v="3.7499999999999999E-2"/>
    <n v="0.2"/>
    <n v="0.6"/>
    <n v="1.2"/>
    <n v="0.3"/>
    <n v="0.3"/>
    <n v="2.2999999999999998"/>
    <n v="0.05"/>
    <n v="0.4"/>
    <n v="0.8"/>
    <n v="0.2"/>
    <n v="0.2"/>
    <n v="1.45"/>
    <n v="0.125"/>
    <n v="0.5"/>
    <n v="1"/>
    <n v="0.25"/>
    <n v="0.25"/>
    <n v="1.875"/>
  </r>
  <r>
    <x v="20"/>
    <x v="2"/>
    <s v="Registro de otras Cuentas por Pagar (Prestamos con terceros o vinculadas, Pagares, Financiamientos, Cuotas de Leasing)_x000a_Impuestos_x000a_Caja Chica _x000a_- Constitución de Caja Chica por medio de anticipo._x000a_- Registro de Facturas y otros Comprobantes de Proveedor_x000a_- Liquidación de documentos_x000a_- Reposición de Caja Chica_x000a_Entregas a Rendir _x000a_- Solicitud (anticipo) _x000a_- Registro de Salidas a Rendir (Pago a colaborador)_x000a_- Registro de facturas_x000a_- Liquidación de Gastos_x000a_Desembolsos_x000a_- Registro de facturas por pagar_x000a_- Compensación de facturas por pagar contra cuenta por pagar al trabajador_x000a_- Reposición al trabajador_x000a_Tarjetas de crédito empresariales_x000a_- Registro de facturas por pagar_x000a_- Compensación de comprobantes de pago contra cuenta de tarjetas de crédito_x000a_- Registro de cuenta tarjetas de crédito contra cuenta bancos_x000a_Reportes"/>
    <s v="El proceso de Otras cuentas por pagar abarca el registro en acreedores de operaciones no core de negocio. Tales como financiamientos, impuestos, entredas a rendir, caja chica."/>
    <s v="1)  Generar documentos por Préstamos a Terceros o Vinculadas _x000a_2) Generar documentos por Obligaciones Bancarias ( Pagarés ); incluyendo sus amortizaciones y cancelaciones_x000a_3) Generar documentos por Financiamientos con Bancos;  incluyendo sus amortizaciones y cancelaciones._x000a_4) Registros de Cuotas de Leasing ( Devengamiento incluyendo Intereses )._x000a_5) Registar los impuestos por Pagar ( IGV) contra la SUNAT._x000a_6) Registro, liquidación y reposición Caja Chica _x000a_7) Permite registrar Solicitud de Entregas a Rendir, registros de comprobantes y liquidación._x000a_8) Registrar Desembolsos a Empleados por gestionar compras menores a nombre de la Empresa. Registrar comprobante y reposición del dinero al Empleado._x000a_9) Permitir liquidaciones de tarjetas de crédito empresarial contra los comprobantes incurridos."/>
    <s v="Los indicadores de impuestos están asociado al IGV. No está considerado otro tipo de impuesto como ISC, impuestos especiales de sectores industriales, FISE, Rodamiento, impuestos a los plásticos, etc"/>
    <x v="0"/>
    <s v="01 Baja"/>
    <m/>
    <n v="3.7499999999999999E-2"/>
    <n v="0.2"/>
    <n v="0.6"/>
    <n v="1.2"/>
    <n v="0.3"/>
    <n v="0.3"/>
    <n v="2.2999999999999998"/>
    <n v="0.05"/>
    <n v="0.4"/>
    <n v="0.8"/>
    <n v="0.2"/>
    <n v="0.2"/>
    <n v="1.45"/>
    <n v="0.125"/>
    <n v="0.5"/>
    <n v="1"/>
    <n v="0.25"/>
    <n v="0.25"/>
    <n v="1.875"/>
  </r>
  <r>
    <x v="21"/>
    <x v="2"/>
    <s v="Anticipo a Proveedores_x000a_Pago Individuales y Masivos_x000a_- Con nota de crédito (aplicación)_x000a_- Con Cheque _x000a_- Con Transferencia Electrónica_x000a_- Pagos Interbancarios_x000a_Pago de Planillas de RRHH_x000a_Pagos Parciales_x000a_Retenciones en el pago_x000a_Anulación de pagos_x000a_Vías de pago_x000a_Bloqueos de pago_x000a_Condición de pago_x000a_Reportes"/>
    <s v="El proceso de pago a proveedores abarca los diferentes mecanismos y condiciones que el modulo FI ofrece para contabilzar los pagos sobre los registros previamente generados en el proceso de cuentas por pagar."/>
    <s v="1) Generar Solicitudes de Anticipos para la Caja Chica, Entregas a Rendir y Anticipos a Terceros_x000a_2) Pagos Individuales o Masivos a Proveedores. Aplicando pagos parciales o totales._x000a_3) Registrar documentos que estan sujetos a Retenciones sea en el documento o en el Pago ( Localización )_x000a_4) Registrar las anulaciones de las compensaciones por los documentos de pago."/>
    <n v="0"/>
    <x v="0"/>
    <s v="01 Baja"/>
    <m/>
    <n v="3.7499999999999999E-2"/>
    <n v="0.2"/>
    <n v="0.6"/>
    <n v="1.2"/>
    <n v="0.3"/>
    <n v="0.3"/>
    <n v="2.2999999999999998"/>
    <n v="0.05"/>
    <n v="0.4"/>
    <n v="0.8"/>
    <n v="0.2"/>
    <n v="0.2"/>
    <n v="1.45"/>
    <n v="0.125"/>
    <n v="0.5"/>
    <n v="1"/>
    <n v="0.25"/>
    <n v="0.25"/>
    <n v="1.875"/>
  </r>
  <r>
    <x v="22"/>
    <x v="2"/>
    <s v="Maestro de Interlocutor Comercial (Deudores o Clientes)_x000a_Registro de Facturas y otros Comprobantes de Clientes_x000a_- Registro de Comprobantes por Finanzas (FI)_x000a_- Registro de Comprobantes Con Pedido Venta(SD)_x000a_Indicadores de impuestos Ventas_x000a_Percepciones Venta_x000a_Registro de Comprobantes de Importación de bienes_x000a_Registro de IGV no domiciliado_x000a_Solicitudes de Anticipo Acreedor_x000a_Retenciones en la factura_x000a_- Detracciones de IGV_x000a_- Retenciones no Domiciliados_x000a_- Retenciones dietas_x000a_Retenciones en el pago_x000a_- Retenciones de IGV_x000a_- Retenciones de 4ta categoría_x000a_Anulación de Registro_x000a_Registros preliminares_x000a_Cuenta de mayor especial (CME)_x000a_Compensaciones_x000a_- Con anticipos_x000a_- Con N/D y N/C_x000a_- Canje de letras_x000a_- Factura Negociable_x000a_o_x0009_Factoring_x000a_o_x0009_Compensación Deudor/Acreedor_x000a_o_x0009_Anulación de compensación_x000a_Reportes"/>
    <s v="El proceso de cuentas por cobrar comprende básicamente la contabilidad en deudores producto de las operaciones de venta de bienes o servicios que generen una obligación de cobro._x000a_Los clientes cuentan con un código único en el maestro de Business Partner bajo el cual se registran sus operaciones y permiten el análisis auxiliar por cuenta deudora. "/>
    <s v="1) Registrar Comprobantes de Ventas por FI ( Facturas , Notas de Crédito y Débito ) con sus indicadores de IVA_x000a_2) Registrar Provisiones de Ingresos por FI_x000a_3) Registrar documentos por Provisión de Cobranza Dudosa_x000a_4) Registrar préstamos entre Empresas Vinculadas o Terceros_x000a_5) Registro de Otras de Cuentas por Cobrar Diversas _x000a_6) Registrar Retenciones en la cuentas por Cobrar en el momento de la contabilización de la factura ( Localización ). Manejando Percepción de Venta y Detracción de Venta._x000a_7) Anulación del documento de venta generado _x000a_9) Compensación de Partidas Deudoras, Anticipos, Notas de Crédito y Débito._x000a_10) Compensación de Deudores con Acreedores_x000a_11) Anulación o descompnesación de documentos de cobro."/>
    <s v="Los indicadores de impuestos están asociado al IGV. No está considerado otro tipo de impuesto como ISC, impuestos especiales de sectores industriales, FISE, Rodamiento, impuestos a los plásticos, etc"/>
    <x v="0"/>
    <s v="01 Baja"/>
    <m/>
    <n v="3.7499999999999999E-2"/>
    <n v="0.2"/>
    <n v="0.6"/>
    <n v="1.2"/>
    <n v="0.3"/>
    <n v="0.3"/>
    <n v="2.2999999999999998"/>
    <n v="0.05"/>
    <n v="0.4"/>
    <n v="0.8"/>
    <n v="0.2"/>
    <n v="0.2"/>
    <n v="1.45"/>
    <n v="0.125"/>
    <n v="0.5"/>
    <n v="1"/>
    <n v="0.25"/>
    <n v="0.25"/>
    <n v="1.875"/>
  </r>
  <r>
    <x v="23"/>
    <x v="2"/>
    <s v="Operaciones de Tesorería_x000a_- Transferencia entre Cuentas_x000a_- Compra/Venta de Divisas_x000a_Reportes"/>
    <s v="La Gestión de Tesorería, abarca el registro de las operaciones propias a la administración de los fondos de la empresa."/>
    <s v="_x000a_1) Gestionar Transferencia Bancarias _x000a_2) Registrar Compra / Venta de Divisas _x000a_3) Cobranzas"/>
    <n v="0"/>
    <x v="0"/>
    <s v="01 Baja"/>
    <m/>
    <n v="3.7499999999999999E-2"/>
    <n v="0.1"/>
    <n v="0.6"/>
    <n v="1.2"/>
    <n v="0.3"/>
    <n v="0.3"/>
    <n v="2.1999999999999997"/>
    <n v="0.05"/>
    <n v="0.4"/>
    <n v="0.8"/>
    <n v="0.2"/>
    <n v="0.2"/>
    <n v="1.45"/>
    <n v="7.5000000000000011E-2"/>
    <n v="0.5"/>
    <n v="1"/>
    <n v="0.25"/>
    <n v="0.25"/>
    <n v="1.825"/>
  </r>
  <r>
    <x v="24"/>
    <x v="2"/>
    <s v="Alta de Activos Fijos_x000a_- Por Compra directa_x000a_- Por Adquisición bajo arrendamiento financiero. _x000a_- Por liquidación de obra en curso _x000a_Traslados_x000a_Baja de Activos Fijos_x000a_- Por venta_x000a_- Por desguace_x000a_Activos mantenidos para la venta_x000a_Revaluación y Desvalorización_x000a_Depreciación_x000a_Operaciones de Cierre Anual_x000a_Reportes"/>
    <s v="Este proceso comprende las diferentes operaciones contables que se registran sobre los activos fijos. Así mismo, abarca la reportería para el análisis contable de los activos fijos."/>
    <s v="1) Alta de Activos por Compras o Liquidaciones de Activos en Curso._x000a_2) Alta de Activos por Arrendamiento Financiero desde FI._x000a_3) Traspasos de Activos _x000a_4) Bajas de Activos:  Baja por Desguace / Baja por Venta _x000a_5) Revaluaciones de Activos Fijos_x000a_6) Ejecución de las Depreciaciones_x000a_7) Cambio de Ejercicio y Cierre de Ejercicio de Activos Fijos "/>
    <n v="0"/>
    <x v="1"/>
    <s v="02 Media"/>
    <s v="GEstión de los activos fijos en curso en Campo."/>
    <n v="8.4375000000000006E-2"/>
    <n v="0.45"/>
    <n v="1.35"/>
    <n v="2.7"/>
    <n v="0.67500000000000004"/>
    <n v="0.67500000000000004"/>
    <n v="5.1749999999999998"/>
    <n v="0.1125"/>
    <n v="0.9"/>
    <n v="1.8"/>
    <n v="0.45"/>
    <n v="0.45"/>
    <n v="3.2625000000000002"/>
    <n v="0.28125"/>
    <n v="1.125"/>
    <n v="2.25"/>
    <n v="0.5625"/>
    <n v="0.5625"/>
    <n v="4.21875"/>
  </r>
  <r>
    <x v="25"/>
    <x v="2"/>
    <s v="Proceso de Cierre de Mes_x000a_- Registro de documentos_x000a_- Apertura y Cierre de Períodos contables_x000a_- Desplazamiento de periodo logístico_x000a_- Anulación de documentos FI_x000a_- Análisis y Compensación de cuentas_x000a_- Conciliación bancaria_x000a_- Valoración de Moneda Extranjera _x000a_- Traslación _x000a_- Liquidación de AFeC_x000a_- Depreciación/Amortización de activos fijos o intangibles_x000a_Proceso de Cierre de Año_x000a_- Arrastre de Saldos Anual_x000a_- Cierre de ejercicio de Activos Fijos_x000a_Estados Financieros y libros oficiales_x000a_Reportes"/>
    <s v="Este proceso se encuentra constituido por las actividades que permiten cerrar las operaciones necesarias del día, mes y del ejercicio. Para ello, el sistema ofrece un conjunto de programas que permiten ejecutar los procesos de cierre y hacer análisis a través reportes de resultados y de cuentas balance."/>
    <s v="1) Apertura y Cierre periodos contables( Variante de Ejercicio FI)_x000a_2)  Desplazamiento de Periodo Logistico. _x000a_3) Compensaciones Manuales o Automaticas de Cuentas de Mayor_x000a_4) Conciliación Banacaria  ( Localización )_x000a_5) Valoración de Moneda Extranjera  ( Ejemplo: USD a PEN )_x000a_6) Traslasión Moneda Local   ( Ejemplo PEN a USD )_x000a_7) Liquidación de Activos FIjo en Curso_x000a_8) Ejecución de la Depreciaión del mes correspondiente._x000a_9) Arrastre de Saldos que incluye la apertura del nuevo ejercicio para Activos Fijos._x000a_10) Cierre de Ejercicio de Activos Fijos_x000a_11) Reporteria Balance General o Report Painters_x000a_12) Libros Electrónicos SUNAT ( Localización Z)"/>
    <n v="0"/>
    <x v="0"/>
    <s v="01 Baja"/>
    <m/>
    <n v="3.7499999999999999E-2"/>
    <n v="0.2"/>
    <n v="0.6"/>
    <n v="1.2"/>
    <n v="0.3"/>
    <n v="0.3"/>
    <n v="2.2999999999999998"/>
    <n v="0.05"/>
    <n v="0.4"/>
    <n v="0.8"/>
    <n v="0.2"/>
    <n v="0.2"/>
    <n v="1.45"/>
    <n v="0.125"/>
    <n v="0.5"/>
    <n v="1"/>
    <n v="0.25"/>
    <n v="0.25"/>
    <n v="1.875"/>
  </r>
  <r>
    <x v="26"/>
    <x v="3"/>
    <s v="Área de control de crédito_x000a_Segmento de crédito _x000a_Asignación de la línea de crédito _x000a_Consumo de la línea de crédito_x000a_Reportes"/>
    <s v="Corresponden a los datos que contienen información relevante para la gestión de créditos,  funcionalidades para su seguimiento y control._x000a_Si la empresa trabaja con líneas de crédito para los clientes, se determina en que procesos de venta aplica este proceso. Al realizar el pedido de venta se verifica si hay deuda vencida y si el pedido sobrepasa la línea de crédito asignada."/>
    <s v="Venta Nacional con límite de crédito excedido._x000a_Venta Exportación con partidas abiertas vencidas._x000a_Venta Servicios con suficiente línea de crédito._x000a_"/>
    <n v="0"/>
    <x v="2"/>
    <s v="01 Baja"/>
    <m/>
    <n v="0"/>
    <n v="0"/>
    <n v="0"/>
    <n v="0"/>
    <n v="0"/>
    <n v="0"/>
    <n v="0"/>
    <n v="0"/>
    <n v="0"/>
    <n v="0"/>
    <n v="0"/>
    <n v="0"/>
    <n v="0"/>
    <n v="0"/>
    <n v="0"/>
    <n v="0"/>
    <n v="0"/>
    <n v="0"/>
    <n v="0"/>
  </r>
  <r>
    <x v="27"/>
    <x v="4"/>
    <s v="Sociedad_x000a_Organización de Compra_x000a_Grupo de Compra_x000a_Centros_x000a_Almacén"/>
    <s v="En la estructura SAP S/4HANA se representa la vista jurídica u organizativa de una empresa como los niveles de la organización. La determinación de dichos niveles constituye la Estructura Organizativa y corresponde, a un requisito escencial tanto para la determinación de los datos maestros como para los procesos a definir en la empresa."/>
    <n v="0"/>
    <n v="0"/>
    <x v="0"/>
    <s v="02 Media"/>
    <s v="15 centros"/>
    <n v="5.6250000000000001E-2"/>
    <n v="7.4999999999999997E-2"/>
    <n v="0.22500000000000001"/>
    <n v="0.22500000000000001"/>
    <n v="0"/>
    <n v="0"/>
    <n v="0.52500000000000002"/>
    <n v="3.7499999999999999E-2"/>
    <n v="0.15"/>
    <n v="0.15"/>
    <n v="0"/>
    <n v="0"/>
    <n v="0.33750000000000002"/>
    <n v="5.6249999999999994E-2"/>
    <n v="0.1875"/>
    <n v="0.1875"/>
    <n v="0"/>
    <n v="0"/>
    <n v="0.43125000000000002"/>
  </r>
  <r>
    <x v="28"/>
    <x v="4"/>
    <s v="Niveles de organización_x000a_Agrupación de Materiales_x000a_Gestión de Valoración_x000a_Vistas de Información_x000a_- Datos básicos_x000a_- Datos de compras_x000a_- Datos de ventas_x000a_- Datos de planificación_x000a_- Datos de centro/almacén_x000a_- Datos contables_x000a_Reportes"/>
    <s v="En SAP S/4HANA el maestro de materiales es el más importante repositorio de información base para todos los procesos logísticos y de gestión de stocks. Aquí se administran todos los datos de los materiales gestionados por la organización. El maestro de materiales está estructurado en “vistas” o pestañas de datos. Cada vista contiene campos específicos relacionados a un área funcional o proceso de negocio. Si a un material no se le ha completado correctamente las vistas vinculadas a un proceso, este material no podrá ser utilizado en dichos procesos. "/>
    <s v="Tipo de Material: _x000a_-Mercadería _x000a_-Materia Prima _x000a_-Material no valorado _x000a_-Suministros _x000a_-Embalajes _x000a_-Producto semielaborado _x000a_-Producto Terminado _x000a_-Material Servicios _x000a__x000a_"/>
    <s v="Se excluye campos no mencionados en el BPD."/>
    <x v="0"/>
    <s v="01 Baja"/>
    <m/>
    <n v="3.7499999999999999E-2"/>
    <n v="3.7499999999999999E-2"/>
    <n v="0.3"/>
    <n v="0.3"/>
    <n v="0.3"/>
    <n v="0"/>
    <n v="0.9375"/>
    <n v="2.5000000000000001E-2"/>
    <n v="0.2"/>
    <n v="0.2"/>
    <n v="0.2"/>
    <n v="0"/>
    <n v="0.625"/>
    <n v="3.125E-2"/>
    <n v="0.25"/>
    <n v="0.25"/>
    <n v="0.25"/>
    <n v="0"/>
    <n v="0.78125"/>
  </r>
  <r>
    <x v="29"/>
    <x v="4"/>
    <s v="Creación de condiciones._x000a_Creación de registros info"/>
    <s v="Las condiciones son los acuerdos que se tienen con los proveedores sobre precios, recargos, descuentos, etc. Las cuales pueden ser empleados por los documentos logísticos._x000a_Los registros info relacionan la información de los materiales con los proveedores como acuerdos comerciales."/>
    <s v="Precios: manual o de registro info_x000a_Descuentos: fijos y porcentual_x000a_Recargos: fijo y porcentual. _x000a_Impuestos : IGV_x000a_Costos Indirectos : Transporte e instalación._x000a_Importaciones: comisiones agente de aduana fijo y %, flete, seguro,%advalorem,almacenaje, transporte, estiba, cuadrilla, gasto portuario, vistos buenos, servicios logísticos, gastos administrativos, Instalación._x000a_Se utiliza para compras nacionales e importadas."/>
    <s v="Se excluye variaciones o lógicas especiales para los esquemas de cálculos o condiciones definidos en el BPD."/>
    <x v="0"/>
    <s v="01 Baja"/>
    <m/>
    <n v="3.7499999999999999E-2"/>
    <n v="0.05"/>
    <n v="0.3"/>
    <n v="0.3"/>
    <n v="0.3"/>
    <n v="0"/>
    <n v="0.95"/>
    <n v="2.5000000000000001E-2"/>
    <n v="0.2"/>
    <n v="0.2"/>
    <n v="0.2"/>
    <n v="0"/>
    <n v="0.625"/>
    <n v="3.7500000000000006E-2"/>
    <n v="0.25"/>
    <n v="0.25"/>
    <n v="0.25"/>
    <n v="0"/>
    <n v="0.78749999999999998"/>
  </r>
  <r>
    <x v="30"/>
    <x v="4"/>
    <s v="Generación de Solicitud de Pedido_x000a_Liberación de Solicitud de Pedido_x000a_Generación de Pedido de Compra_x000a_Liberación de Pedido de Compra_x000a_Envío de formato de pedido de compra al proveedor. _x000a_Entrada de Mercadería_x000a_Registro de Facturas_x000a_Reportes"/>
    <s v="Este proceso en SAP permite brindar soporte al Proceso de Abastecimiento de Proveedores Locales o extranjeros para la adquisición de existencias de una empresa.  Cabe mencionar que, para los procesos definidos en SAP, las existencias son aquellas que: _x000a_- Emplean un código de material, que contará con gestión de cantidad y valor._x000a_- El ingreso de dicho material es contabilizado en ctas. de existencias."/>
    <s v="-Compras asociadas a contratos por valor afectos a IGV_x000a_-Compras asociadas a contratos por importe inafectos a IGV._x000a_-Compras sin estrategias de liberación con retenciones._x000a_-Compras con estrategia de liberación con detracciones._x000a_-Compras con descuentos, recargos, costos indirectos,afectos y no afectos al IGV._x000a_-Compras con posiciones gratuitas_x000a_-Entregas parciales._x000a_-Facturación parcial._x000a_-Anulación de entrega._x000a_-Anulación de factura._x000a_-Compras locales e importaciones."/>
    <s v="No se usa planes de entrega._x000a_No se utiliza entregas entrantes ni confirmaciones de OC."/>
    <x v="2"/>
    <s v="01 Baja"/>
    <m/>
    <n v="0"/>
    <n v="0.5"/>
    <n v="0"/>
    <n v="0"/>
    <n v="0"/>
    <n v="0"/>
    <n v="0.5"/>
    <n v="0"/>
    <n v="0"/>
    <n v="0"/>
    <n v="0"/>
    <n v="0"/>
    <n v="0"/>
    <n v="0.25"/>
    <n v="0"/>
    <n v="0"/>
    <n v="0"/>
    <n v="0"/>
    <n v="0.25"/>
  </r>
  <r>
    <x v="31"/>
    <x v="4"/>
    <s v="Generación de Solicitud de Pedido_x000a_Liberación de Solicitud de Pedido_x000a_Generación de Pedido de Abierto_x000a_Liberación de Pedido Abierto_x000a_Generación de Pedido de Compra_x000a_Liberación de Pedido de Compra_x000a_Envío de formato de pedido de compra al proveedor. _x000a_Entrada de Mercadería_x000a_Registro de Facturas_x000a_Reportes"/>
    <s v="Este proceso de compras utiliza solicitudes de pedido o directamente órdenes de compra. Se realiza el flujo de compras con aprobaciones de órdenes de compra, hoja de entrada de servicio y registro de la factura. A diferencia de las compras de stock, este proceso requiere de una imputación en las solicitudes de pedidos u órdenes de compra ya que los importes son registrados directamente en el gasto ya que no se requiere tenerlos en cuentas de inventario."/>
    <s v="-Compras asociadas a contratos por valor afectos a IGV_x000a_-Compras asociadas a contratos por importe inafectos a IGV._x000a_-Compras sin estrategias de liberación con retenciones._x000a_-Compras con estrategia de liberación con detracciones._x000a_-Compras con descuentos, recargos, costos indirectos,afectos y no afectos al IGV._x000a_-Compras con posiciones gratuitas_x000a_-Entregas parciales._x000a_-Facturación parcial._x000a_-Anulación de entrega._x000a_-Anulación de factura._x000a_-Compras locales e importaciones."/>
    <s v="No se usa planes de entrega._x000a_No se utiliza entregas entrantes ni confirmaciones de OC."/>
    <x v="0"/>
    <s v="01 Baja"/>
    <m/>
    <n v="3.7499999999999999E-2"/>
    <n v="0.1"/>
    <n v="0.6"/>
    <n v="1.2"/>
    <n v="0.3"/>
    <n v="0.3"/>
    <n v="2.1999999999999997"/>
    <n v="0.05"/>
    <n v="0.4"/>
    <n v="0.8"/>
    <n v="0.2"/>
    <n v="0.2"/>
    <n v="1.45"/>
    <n v="7.5000000000000011E-2"/>
    <n v="0.5"/>
    <n v="1"/>
    <n v="0.25"/>
    <n v="0.25"/>
    <n v="1.825"/>
  </r>
  <r>
    <x v="32"/>
    <x v="4"/>
    <s v="Tipos de Imputación_x000a_- Centro de Costo_x000a_- Orden CO_x000a_Compra de Bienes _x000a_- Generación de Solicitud de Pedido_x000a_- Liberación de Solicitud de Pedido_x000a_- Generación de Pedido de Compra_x000a_- Liberación de Pedido de Compra_x000a_- Envío de formato de pedido de compra al proveedor. _x000a_- Entrada de Mercadería_x000a_- Registro de Facturas_x000a_Reportes"/>
    <s v="Este proceso de compras utiliza solicitudes de pedido o directamente órdenes de compra. Se realiza el flujo de compras con aprobaciones de órdenes de compra, ingresos de mercadería al almacén y registro de la factura. A diferencia de las compras de stock, este proceso requiere de una imputación en las solicitudes de pedidos u órdenes de compra ya que los importes son registrados directamente en el gasto ya que no se requiere tenerlos en cuentas de inventario. Este proceso está orientado a compra de materiales que no forman parte del core del negocio pero que son requeridos para la gestión y están dentro del presupuesto anual de la compañía como por ejemplo la compra de útiles de economato, activos fijos, etc. "/>
    <s v="-Compras  de material no valorado imputados a varios centro de costos._x000a_-Compras de suministro imputadas a una orden CO._x000a_-Compras imputadas a un activo fijo._x000a_-Compras de servicios imputada a un centro de costos._x000a_-Imputación U.(Desconocida)."/>
    <n v="0"/>
    <x v="0"/>
    <s v="01 Baja"/>
    <m/>
    <n v="3.7499999999999999E-2"/>
    <n v="0.1"/>
    <n v="0.6"/>
    <n v="1.2"/>
    <n v="0.3"/>
    <n v="0.3"/>
    <n v="2.1999999999999997"/>
    <n v="0.05"/>
    <n v="0.4"/>
    <n v="0.8"/>
    <n v="0.2"/>
    <n v="0.2"/>
    <n v="1.45"/>
    <n v="7.5000000000000011E-2"/>
    <n v="0.5"/>
    <n v="1"/>
    <n v="0.25"/>
    <n v="0.25"/>
    <n v="1.825"/>
  </r>
  <r>
    <x v="33"/>
    <x v="4"/>
    <s v="Generación de Solicitud de Pedido_x000a_Generación de Pedido de Abierto _x000a_Liberación de Pedido Abierto _x000a_Generación de Pedido de Compra_x000a_Entrada de mercancía_x000a_Registro de Factura del Proveedor Extranjero de la Orden de Compra _x000a_Registro de Facturas de Costos Indirectos_x000a_Reportes"/>
    <s v="Este proceso de compras se utiliza para tener mayor predictibilidad en el abastecimiento ya que previamente se puede negociar con los proveedores volúmenes importantes de compras a lo largo de un periodo determinado logrando mejores condiciones de cumplimiento por parte del proveedor. El proceso inicia con una solicitud de pedido que contienen el volumen total del requerimiento, en base a este volumen se negocia un contrato con el proveedor. El gerente de compra aprueba la formulación del contrato. Luego todas las solicitudes de compra pueden usar las condiciones comerciales negociadas en los contratos generados hasta agotar el volumen negociado con el proveedor.  Los contratos también se pueden usar para procesos de abastecimiento que involucran importación."/>
    <s v="Compra con pedido abierto asociado a solped con condiciones de importación:_x000a_- Comisiones agente de aduana fijo y %._x000a_- Flete._x000a_- Seguro._x000a_- %advalorem._x000a_- Almacenaje, transporte, estiba, cuadrilla, gasto portuario, vistos buenos, servicios logísticos, gastos administrativos, Instalación."/>
    <s v="Sin gestión de stock en operadores logísticos"/>
    <x v="0"/>
    <s v="01 Baja"/>
    <m/>
    <n v="3.7499999999999999E-2"/>
    <n v="7.4999999999999997E-2"/>
    <n v="0.6"/>
    <n v="1.2"/>
    <n v="0.3"/>
    <n v="0.3"/>
    <n v="2.1749999999999998"/>
    <n v="0.05"/>
    <n v="0.4"/>
    <n v="0.8"/>
    <n v="0.2"/>
    <n v="0.2"/>
    <n v="1.45"/>
    <n v="6.25E-2"/>
    <n v="0.5"/>
    <n v="1"/>
    <n v="0.25"/>
    <n v="0.25"/>
    <n v="1.8125"/>
  </r>
  <r>
    <x v="34"/>
    <x v="4"/>
    <s v="Generación de Solicitud de Pedido de Consignación_x000a_Generación o actualización de registro Info por consignación_x000a_Generación de Pedido de Compra por consignación_x000a_Liberación de Pedido de compra de consignación_x000a_Generación de Formulario de Orden de Compra al proveedor_x000a_Entrada de Mercadería a consignación_x000a_Traspaso de Consignación a libre utilización (stock propio)_x000a_Toma de Materiales en Consignación_x000a_Liquidación de materiales en consignación tomados_x000a_Reportes"/>
    <s v="Este proceso conserva las consideraciones del Proceso de Compra Nacional mencionada anteriormente y se le suman las siguientes particularidades: _x000a_1._x0009_El proveedor suministra los materiales (artículos en consignación) y la empresa que realiza la adquisición, los guarda en sus almacenes o bodegas. Sin embargo, el proveedor queda como el propietario legal del material hasta que sean tomado._x000a_2._x0009_Para el pago de la factura, se realizan cortes periódicos coordinados entre el proveedor y la empresa que realiza la adquisición o compra, para identificar cual ha sido el consumo a la fecha y realizar el pago, en función de un precio, previamente acordado antes de realizar el consumo._x000a_3._x0009_SAP permite a través de sus reportes, identificar el material que se encuentra en estado consignado y controlar, una vez pase al stock propio._x000a_Obs. Este modelo, legalmente conlleva a presentar al estado un libro de consignación. Generalmente utilizado en empresas que consumen combustibles a gran escala."/>
    <s v=" - Proceso de consignación de proveedor simple: Generación de solicitud de compra, generación de pedido de compra, entrada de mercadería a consignación, toma de materiales y liquidación. "/>
    <n v="0"/>
    <x v="2"/>
    <s v="01 Baja"/>
    <m/>
    <n v="0"/>
    <n v="0"/>
    <n v="0"/>
    <n v="0"/>
    <n v="0"/>
    <n v="0"/>
    <n v="0"/>
    <n v="0"/>
    <n v="0"/>
    <n v="0"/>
    <n v="0"/>
    <n v="0"/>
    <n v="0"/>
    <n v="0"/>
    <n v="0"/>
    <n v="0"/>
    <n v="0"/>
    <n v="0"/>
    <n v="0"/>
  </r>
  <r>
    <x v="35"/>
    <x v="4"/>
    <s v="Generación de la Solicitud de Pedido_x000a_Liberación de la Solicitud de Pedido_x000a_Generación o actualización de registro Info por subcontratación_x000a_Generación de Pedido de Subcontratación_x000a_Liberación del Pedido de subcontratación_x000a_Generación de Formulario de Compra al proveedor_x000a_Entrega de componentes a Proveedor por Subcontratación (Emisión de guía de remisión)_x000a_Entrada de Mercadería del producto final_x000a_Registro de Factura_x000a_Reportes"/>
    <s v="Este proceso conserva las consideraciones del Proceso de Compra Nacional mencionada anteriormente y se le suman las siguientes particularidades:_x000a_1._x0009_Durante el proceso de compra, el proveedor puede recibir todos o una parte de los componentes, con los que fabricará o ensamblará para poder abastecer con un producto final. _x000a_2._x0009_SAP permite optimizar el proceso, armando listas de materiales para que se dé una propuesta automática a los materiales que debemos entregar al proveedor. Si bien el proceso soporta el uso de lista de materiales, debe considerarse el esfuerzo necesario por parte del negocio de crear este dato maestros y darle el mantenimiento adecuado._x000a_3._x0009_SAP cuenta con reportes que permitirán monitorear el material que está siendo entregado al proveedor; así como, controlar el stock del nuevo material una vez se dé el ingreso."/>
    <s v=" - Proceso de subcontratación simple: Los materiales entregados al proveedor salen del mismo centro donde el proveedor entrega el producto procesado."/>
    <s v="Se excluye "/>
    <x v="2"/>
    <s v="01 Baja"/>
    <m/>
    <n v="0"/>
    <n v="0"/>
    <n v="0"/>
    <n v="0"/>
    <n v="0"/>
    <n v="0"/>
    <n v="0"/>
    <n v="0"/>
    <n v="0"/>
    <n v="0"/>
    <n v="0"/>
    <n v="0"/>
    <n v="0"/>
    <n v="0"/>
    <n v="0"/>
    <n v="0"/>
    <n v="0"/>
    <n v="0"/>
    <n v="0"/>
  </r>
  <r>
    <x v="36"/>
    <x v="4"/>
    <s v="Estrategias para Solicitud de Pedido_x000a_Estrategias para Orden de Compra_x000a_Estrategias para Pedido Abierto_x000a_Estrategia para Hoja de Entrada de Servicio"/>
    <s v="Esta funcionalidad de SAP S/4HANA permite establecer criterios de aprobación definidos para los documentos de compras y ejecutar las liberaciones desde My Inbox que se puede desplegar en celulares."/>
    <s v="- Liberación de solicitudes_x000a_- Liberación  orden de compra_x000a_- Liberación  pedido abierto_x000a_- Liberación  de hojas de entrada de servicio."/>
    <s v="1. Se excluye  las notificaciones para liberar los documentos. Esto será en la siguiente versión_x000a__x000a_2. Se excluye cualquier cambio de lógica adicional al funcionamiento estándar de las estrategias. "/>
    <x v="0"/>
    <s v="01 Baja"/>
    <m/>
    <n v="3.7499999999999999E-2"/>
    <n v="0.15"/>
    <n v="0.6"/>
    <n v="1.2"/>
    <n v="0.3"/>
    <n v="0.3"/>
    <n v="2.25"/>
    <n v="0.05"/>
    <n v="0.4"/>
    <n v="0.8"/>
    <n v="0.2"/>
    <n v="0.2"/>
    <n v="1.45"/>
    <n v="0.1"/>
    <n v="0.5"/>
    <n v="1"/>
    <n v="0.25"/>
    <n v="0.25"/>
    <n v="1.85"/>
  </r>
  <r>
    <x v="37"/>
    <x v="4"/>
    <s v="Entrada de Mercadería_x000a_- Por Pedido de Compra_x000a_- Por Pedido de Traslado_x000a_- Sin Pedido de compra_x000a_° Por Carga Inicial_x000a_° Entrada sin referencia_x000a_Traspasos_x000a_- Entre almacenes en un paso _x000a_- Entre almacenes en dos pasos. _x000a_- Cambio tipo de stock_x000a_- Cambio de código de material_x000a__x000a_Traslado con pedido de traslado (entre centros)_x000a_- Creación de Pedido de Traslado_x000a_- Generación Entrega de Salida_x000a_- Generación de la salida de materiales. _x000a_- Registro de Entrada de Mercadería a centro destino_x000a_Salidas No Comerciales de Materiales/Mercancías_x000a_- Generación de reservas para atención de almacén. _x000a_- Salida por consumo_x000a_Devolución a proveedor_x000a_- Con pedido de devolución_x000a_Desguace (Deterioro, caducidad, obsolescencia, y/o merma_x000a_Salida por ventas _x000a_Reportes"/>
    <s v="Este proceso contempla todos los movimientos que se puedan realizar con las existencias o material que solo cuenten con gestión de cantidad y se encuentren dentro de los almacenes o bodegas de la empresa y que sean registrado dentro de SAP. Movimientos como:_x000a__x000a_- Entradas de material._x000a_- Salidas de material no comerciales._x000a_- Traslados planificados o no planificados._x000a_- Traspaso entre materiales._x000a__x000a_Entre otros movimientos._x000a_"/>
    <s v="- Movientos traspaso entre almacenes de 1 y 2 pasos. _x000a_- Cambio de tipo de stock. _x000a_- Cambio Código de material_x000a_- Traslado entre centros con pedido de traslado_x000a_- Anulación de documento de material. _x000a_- Devolución a proveedor con pedido de devolución. _x000a_- Salida por deterioro._x000a_- Salidas por reserva a centro de costo._x000a_- Traspaso de lotes. "/>
    <s v="- Determinación de lotes_x000a_- Variación del costo del material por traslado de productos."/>
    <x v="3"/>
    <s v="03 Alta"/>
    <s v="Al no tener EWM se debe requerir más esfuerzo en las definiciones y pruebas de gestión de stock y uso de HU._x000a_Además se tiene integración con la Balanza."/>
    <n v="0.1875"/>
    <n v="0.6"/>
    <n v="3"/>
    <n v="6"/>
    <n v="1.5"/>
    <n v="1.5"/>
    <n v="11.1"/>
    <n v="0.25"/>
    <n v="2"/>
    <n v="4"/>
    <n v="1"/>
    <n v="1"/>
    <n v="7.25"/>
    <n v="0.42499999999999999"/>
    <n v="2.5"/>
    <n v="5"/>
    <n v="1.25"/>
    <n v="1.25"/>
    <n v="9.1750000000000007"/>
  </r>
  <r>
    <x v="38"/>
    <x v="4"/>
    <s v="Generación de Documento de inventario_x000a_Generación del Formulario de Inventario (Estándar)_x000a_Registro del conteo (recuento) de inventario_x000a_Generación de listado de diferencias_x000a_Contabilización de diferencias_x000a_Reportes"/>
    <s v="Este proceso en SAP S/4HANA, permite la toma del inventario de los almacenes de su empresa para el balance. Dicho inventario, puede realizarse tanto para el stock propio como para el stock especial como por ej. el stock en consignación en el cliente, stock externo de artículos en consignación del proveedor o embalaje en préstamo._x000a_Teniendo como premisa que el inventario de cada uno de ellos; es decir, del stock propio y del especial, deben realizarse por separado. Por lo tanto, se deberán crear diferentes documentos de inventarios para la toma de dichos inventarios."/>
    <s v="Contabilización del conteo (material sujeto a lote)._x000a_Contabilización en base a reconteo (material no sujeto a lote)."/>
    <s v="Se excluye pruebas de toma de inventario para otro tipo de stock especial. _x000a__x000a_Solo stock propio. "/>
    <x v="0"/>
    <s v="01 Baja"/>
    <m/>
    <n v="3.7499999999999999E-2"/>
    <n v="0.15"/>
    <n v="0.6"/>
    <n v="1.2"/>
    <n v="0.3"/>
    <n v="0.3"/>
    <n v="2.25"/>
    <n v="0.05"/>
    <n v="0.4"/>
    <n v="0.8"/>
    <n v="0.2"/>
    <n v="0.2"/>
    <n v="1.45"/>
    <n v="0.1"/>
    <n v="0.5"/>
    <n v="1"/>
    <n v="0.25"/>
    <n v="0.25"/>
    <n v="1.85"/>
  </r>
  <r>
    <x v="39"/>
    <x v="5"/>
    <s v="Definición de estructura PM"/>
    <s v="Define el uso del modelo centralizado o descentralizado."/>
    <s v="Define el uso del modelo centralizado o descentralizado."/>
    <n v="0"/>
    <x v="2"/>
    <s v="01 Baja"/>
    <m/>
    <n v="0"/>
    <n v="0.25"/>
    <n v="0"/>
    <n v="0"/>
    <n v="0"/>
    <n v="0"/>
    <n v="0.25"/>
    <n v="0"/>
    <n v="0"/>
    <n v="0"/>
    <n v="0"/>
    <n v="0"/>
    <n v="0"/>
    <n v="0.125"/>
    <n v="0"/>
    <n v="0"/>
    <n v="0"/>
    <n v="0"/>
    <n v="0.125"/>
  </r>
  <r>
    <x v="40"/>
    <x v="5"/>
    <s v="- Catálogos_x000a_- Clases y características_x000a_- Ubicaciones técnicas_x000a_- Equipos_x000a_- Puestos de trabajo_x000a_- Listas de materiales"/>
    <s v="Describe los datos maestros necesarios para representar las instalaciones industriales dentro del sistema y poder llevar de manera adecuada el seguimiento de las actividades de mantenimiento a nivel de cada activo."/>
    <n v="0"/>
    <n v="0"/>
    <x v="2"/>
    <s v="01 Baja"/>
    <m/>
    <n v="0"/>
    <n v="0.25"/>
    <n v="0"/>
    <n v="0"/>
    <n v="0"/>
    <n v="0"/>
    <n v="0.25"/>
    <n v="0"/>
    <n v="0"/>
    <n v="0"/>
    <n v="0"/>
    <n v="0"/>
    <n v="0"/>
    <n v="0.125"/>
    <n v="0"/>
    <n v="0"/>
    <n v="0"/>
    <n v="0"/>
    <n v="0.125"/>
  </r>
  <r>
    <x v="41"/>
    <x v="5"/>
    <s v="Creación de aviso. Creación de OM. Liberación de OM. Integración con compras. Notificación. Consumo de reservas. Cierre técnico. Cierre comercial"/>
    <s v="Describe el flujo de proceso desde que se reporta un incidente hasta la solución del mismo. Está basado en el aviso de mantenimiento que sirve para documentar el incidente de mantenimiento y la OM que sirve para controlar las operaciones desde el punto de vista de la logística, compras y costos."/>
    <n v="0"/>
    <n v="0"/>
    <x v="2"/>
    <s v="01 Baja"/>
    <m/>
    <n v="0"/>
    <n v="0.5"/>
    <n v="0"/>
    <n v="0"/>
    <n v="0"/>
    <n v="0"/>
    <n v="0.5"/>
    <n v="0"/>
    <n v="0"/>
    <n v="0"/>
    <n v="0"/>
    <n v="0"/>
    <n v="0"/>
    <n v="0.25"/>
    <n v="0"/>
    <n v="0"/>
    <n v="0"/>
    <n v="0"/>
    <n v="0.25"/>
  </r>
  <r>
    <x v="42"/>
    <x v="5"/>
    <s v="Creación de estrategias._x000a_Creación de hojas de ruta._x000a_Creación de planes de mantenimiento._x000a_Registro de documentos de medición_x000a_Programación de plan. Creación de OM. Liberación de OM. Integración con compras. Notificación. Consumo de reservas. Cierre técnico. Cierre comercial"/>
    <s v="Se define las frecuencias necesarias para establecer los mantenimientos preventivos, puede realizarse a través de variables temporales o en base a los contadores de los puntos de medición._x000a_Se define el uso de las hojas de ruta. Estas describen las operaciones de mantenimiento que se deben realizar de acuerdo a las definiciones de negocio o especificaciones de fabricante. Generalmente se usan en conjunto con los planes de mantenimiento preventivo. Se puede asociar de manera diferenciada hojas de ruta para cada equipo o ubicación técnica; sin embargo también es posible asignar una hoja de ruta genérica va varios equipos y ubicaciones técnicas._x000a_Se describe la estrategia y frecuencia sobre la cual se crearán las peticiones de mantenimiento. Se indican diferentes horizontes que permiten anticipar la creación de las OM. Asímismo se tiene una visión de corto y mediano plazo donde se puede evidenciar en adelanto o atraso de mantenimientos en base a la situación actual de las OM y documentos de medición._x000a_Se describe el flujo de proceso desde que se genera una OM preventiva hasta la culminación de todas sus actividades. Está basado en la OM que sirve para controlar las operaciones desde el punto de vista de la logística, compras y costos."/>
    <s v="Planes de mantenimiento basados en tiempo._x000a_Planes de mantenimiento basados en actividad."/>
    <n v="0"/>
    <x v="2"/>
    <s v="01 Baja"/>
    <m/>
    <n v="0"/>
    <n v="0.5"/>
    <n v="0"/>
    <n v="0"/>
    <n v="0"/>
    <n v="0"/>
    <n v="0.5"/>
    <n v="0"/>
    <n v="0"/>
    <n v="0"/>
    <n v="0"/>
    <n v="0"/>
    <n v="0"/>
    <n v="0.25"/>
    <n v="0"/>
    <n v="0"/>
    <n v="0"/>
    <n v="0"/>
    <n v="0.25"/>
  </r>
  <r>
    <x v="43"/>
    <x v="6"/>
    <s v="NA"/>
    <s v="Define las áreas de planificación en caso se plantee la planificación separada de almacenes"/>
    <n v="0"/>
    <n v="0"/>
    <x v="2"/>
    <s v="01 Baja"/>
    <m/>
    <n v="0"/>
    <n v="0.25"/>
    <n v="0"/>
    <n v="0"/>
    <n v="0"/>
    <n v="0"/>
    <n v="0.25"/>
    <n v="0"/>
    <n v="0"/>
    <n v="0"/>
    <n v="0"/>
    <n v="0"/>
    <n v="0"/>
    <n v="0.125"/>
    <n v="0"/>
    <n v="0"/>
    <n v="0"/>
    <n v="0"/>
    <n v="0.125"/>
  </r>
  <r>
    <x v="44"/>
    <x v="6"/>
    <s v="Creación, modificación y visualización de puestos de trabajo"/>
    <s v="Definición del uso de los puestos de trabajo en entorno de fabricación discreta o repetitiva. Descripción de las principales vistas para la planificación y programación de capacidades, y definición de los inductores de costos de producción"/>
    <n v="0"/>
    <s v="Se excluye la planificación detallada PPDS._x000a_Se excluye la integración de HR."/>
    <x v="0"/>
    <s v="01 Baja"/>
    <m/>
    <n v="3.7499999999999999E-2"/>
    <n v="0.1"/>
    <n v="0.3"/>
    <n v="0.3"/>
    <n v="0.3"/>
    <n v="0"/>
    <n v="1"/>
    <n v="2.5000000000000001E-2"/>
    <n v="0.2"/>
    <n v="0.2"/>
    <n v="0.2"/>
    <n v="0"/>
    <n v="0.625"/>
    <n v="6.25E-2"/>
    <n v="0.25"/>
    <n v="0.25"/>
    <n v="0.25"/>
    <n v="0"/>
    <n v="0.8125"/>
  </r>
  <r>
    <x v="45"/>
    <x v="6"/>
    <s v="Creación de demanda. Creación de órdenes previsionales. Fijación de órdenes previsionales. Conversión de órdenes previsionales."/>
    <s v="Definición del proceso de planificación basado en MRP Live. Parte de la creación de las estimaciones o necesidades primaria planificadas a nivel de centro y SKU entendida como demanda restringida. Ejecución de MRP Live para que se propongan las órdenes previsionales y se carguen los puestos de trabajo o recursos con necesidades de capacidad. Se analizan los recursos críticos para priorizar las órdenes a realizarse. Se fijan las órdenes previsionales para evitar que se modificquen con un nuevo proceso MRP Live. Finalmente se convierten en órdenes de faricación o proceso que se entregan a planta para su ejecución."/>
    <s v="Stock de seguridad estático y dinámico._x000a_Procesos masivos e individuales._x000a_Tamaños de lote exactos y fijos con redondeos._x000a_Cálculo de rechazo de conjunto y componente."/>
    <s v="No incluye estrategias MTO._x000a_No incluye optimización de la planificación._x000a_No incluye secuenciación PP/DS_x000a_No incluye DD-MRP_x000a_No incluye MRP predictivo"/>
    <x v="0"/>
    <s v="02 Media"/>
    <s v="Definición de procesos MTO y MTS."/>
    <n v="5.6250000000000001E-2"/>
    <n v="0"/>
    <n v="0.9"/>
    <n v="1.8"/>
    <n v="0.45"/>
    <n v="0.45"/>
    <n v="3.1500000000000004"/>
    <n v="7.4999999999999997E-2"/>
    <n v="0.6"/>
    <n v="1.2"/>
    <n v="0.3"/>
    <n v="0.3"/>
    <n v="2.1749999999999998"/>
    <n v="3.7499999999999999E-2"/>
    <n v="0.75"/>
    <n v="1.5"/>
    <n v="0.375"/>
    <n v="0.375"/>
    <n v="2.6625000000000001"/>
  </r>
  <r>
    <x v="46"/>
    <x v="6"/>
    <s v="Revisiónde cuellos de botella._x000a_Análisis de utilización de los recursos: Sobre cargas y subutilización."/>
    <s v="Luego del proceso MRP Live, se evaluan los recursos o puestos de trabajo críticos. Se priorizan las órdenes que deben atenderse. Se busca tener una utilización adecuada, el planificador de capacidad debe asignar adecuadamente las órdenes coordinando continuamente con planificación, planta y mantenimiento la disponibilidad de los recursos."/>
    <n v="0"/>
    <n v="0"/>
    <x v="2"/>
    <s v="01 Baja"/>
    <m/>
    <n v="0"/>
    <n v="0.5"/>
    <n v="0"/>
    <n v="0"/>
    <n v="0"/>
    <n v="0"/>
    <n v="0.5"/>
    <n v="0"/>
    <n v="0"/>
    <n v="0"/>
    <n v="0"/>
    <n v="0"/>
    <n v="0"/>
    <n v="0.25"/>
    <n v="0"/>
    <n v="0"/>
    <n v="0"/>
    <n v="0"/>
    <n v="0.25"/>
  </r>
  <r>
    <x v="47"/>
    <x v="6"/>
    <s v="Definición del método planificación de necesidades _x000a_Verificación / Actualización de datos maestros de planificación_x000a_Ejecución de planificación_x000a_Verificación de propuesta de abastecimiento_x000a_Asignación de fuente de aprovisionamiento_x000a_Creación de pedido de compra_x000a_Reportes"/>
    <s v="La Planif. De Necesidades corresponde a la funcionalidad que brinda SAP para garantizar la disponibilidad del material; es decir que, se emplea para el aprovisionamiento o la fabricación de las cantidades en el momento oportuno, tanto para necesidades internas como para los requerimientos del área Comercial. Este proceso implica el mantenimiento de datos maestros consistentes, la supervisión de stocks y la propuesta automática del aprovisionamiento para compras y/o producción bajo el análisis del planner de la empresa."/>
    <s v="Planificación por punto de pedido(VB):_x000a_- Con stock de seguridad estático._x000a_- Tamaño de lote hasta stock máximo._x000a_Planificación determinista para compras(PD,P1,PE,P3,P4):_x000a_- Con lotes exactos con redondeo y SS estático._x000a_Planificación determinista para traslados(PD,P1,P2,P3,P4):_x000a_- Con lotes fijos sin stock de seguridad."/>
    <s v="Se excluye otro tipo de: Planificación, stock de seguridad, y tamaño de lote.  _x000a_"/>
    <x v="0"/>
    <s v="01 Baja"/>
    <m/>
    <n v="3.7499999999999999E-2"/>
    <n v="0.2"/>
    <n v="0.6"/>
    <n v="1.2"/>
    <n v="0.3"/>
    <n v="0.3"/>
    <n v="2.2999999999999998"/>
    <n v="0.05"/>
    <n v="0.4"/>
    <n v="0.8"/>
    <n v="0.2"/>
    <n v="0.2"/>
    <n v="1.45"/>
    <n v="0.125"/>
    <n v="0.5"/>
    <n v="1"/>
    <n v="0.25"/>
    <n v="0.25"/>
    <n v="1.875"/>
  </r>
  <r>
    <x v="48"/>
    <x v="6"/>
    <s v="Creación de proyecciones de escenarios hipotéticos. Ejecución de pMRP. Análisis de capacidades y cobertura."/>
    <s v="pMRP permite hacer una ejecución del proceso de planificación e2e de manera simulada para analizar escenarios hipotéticos y poder contar con planes de accion de manera anticipada. Dentro del proceso de S&amp;OP sirve para restringir la demanda consensuada."/>
    <n v="0"/>
    <n v="0"/>
    <x v="2"/>
    <s v="01 Baja"/>
    <m/>
    <n v="0"/>
    <n v="0"/>
    <n v="0"/>
    <n v="0"/>
    <n v="0"/>
    <n v="0"/>
    <n v="0"/>
    <n v="0"/>
    <n v="0"/>
    <n v="0"/>
    <n v="0"/>
    <n v="0"/>
    <n v="0"/>
    <n v="0"/>
    <n v="0"/>
    <n v="0"/>
    <n v="0"/>
    <n v="0"/>
    <n v="0"/>
  </r>
  <r>
    <x v="49"/>
    <x v="6"/>
    <s v="Clasificación de materiales. Posicionamiento de stock. Propuesta de aprovisionamiento."/>
    <s v="Proceso de planificación orientado a la demanda. Parte de la clasificación de los productos en base a su costo relativo (ABC), variación de consumo (XYZ), leadtime (EFG) uso en lista de materiales (PQR). Posiciona el stock de acuerdo a zonas: Roja(Stock de seguridad), ambar (Punto de pedido) y verde (Stock máximo). Propone la reposición de stock de tal manera que se procura un stock en la zona ambar/verde. Como el comportamiento de un producto varia a lo largo del tiempo, este proceso puede reclasificar fácilmente los productos de manera periódica asegurando siempre un adecuado suministro sin exceso ni ruptura de stock."/>
    <n v="0"/>
    <n v="0"/>
    <x v="2"/>
    <s v="01 Baja"/>
    <m/>
    <n v="0"/>
    <n v="0"/>
    <n v="0"/>
    <n v="0"/>
    <n v="0"/>
    <n v="0"/>
    <n v="0"/>
    <n v="0"/>
    <n v="0"/>
    <n v="0"/>
    <n v="0"/>
    <n v="0"/>
    <n v="0"/>
    <n v="0"/>
    <n v="0"/>
    <n v="0"/>
    <n v="0"/>
    <n v="0"/>
    <n v="0"/>
  </r>
  <r>
    <x v="50"/>
    <x v="6"/>
    <s v="Ejecución de heurístico. Fijación de órdenes previsionales."/>
    <s v="Proceso avanzado que permite hacer una nivelaciones de las capacidades de producción en base a métods heurísticos y optimizados. Parte del análisis de las órdenes previsionales creadas por el MRP Live y termina entregando un programa de producción para el corto plazo  balanceado y programado a detalle."/>
    <n v="0"/>
    <n v="0"/>
    <x v="2"/>
    <s v="01 Baja"/>
    <m/>
    <n v="0"/>
    <n v="0"/>
    <n v="0"/>
    <n v="0"/>
    <n v="0"/>
    <n v="0"/>
    <n v="0"/>
    <n v="0"/>
    <n v="0"/>
    <n v="0"/>
    <n v="0"/>
    <n v="0"/>
    <n v="0"/>
    <n v="0"/>
    <n v="0"/>
    <n v="0"/>
    <n v="0"/>
    <n v="0"/>
    <n v="0"/>
  </r>
  <r>
    <x v="51"/>
    <x v="6"/>
    <s v="Gestión de órdenes de fabricación que se dervian de un plan de producción.Notificación de actividades, consumo de componentes y entrada de mercancía."/>
    <s v="Definición del flujo de fabricación en entorno de fabricación discreta. Parte desde la creación de la orden de fabricación hasta su cierre técnico. Incluye acividades de liberación, notificación, abastecimiento de almacenes de piso, ingreso de producto. Este proceso puede ser complementado con la planificación de producción. dentro de sus variantes incluye la entrega de subproductos y coproductos secundarios."/>
    <s v="Fabricación de un producto._x000a_Fabricación de coproductos._x000a_Fabricación de subproductos._x000a_Fabricación de PT y SE_x000a_Reprocesos."/>
    <s v="No incluye embalaje con HU._x000a_No se hace cálculo de componente activo._x000a_No se incluye subcontratación."/>
    <x v="1"/>
    <s v="02 Media"/>
    <s v="Inclusión de HU en la entrega de productos."/>
    <n v="8.4375000000000006E-2"/>
    <n v="0"/>
    <n v="1.35"/>
    <n v="2.7"/>
    <n v="0.67500000000000004"/>
    <n v="0.67500000000000004"/>
    <n v="4.7250000000000005"/>
    <n v="0.1125"/>
    <n v="0.9"/>
    <n v="1.8"/>
    <n v="0.45"/>
    <n v="0.45"/>
    <n v="3.2625000000000002"/>
    <n v="5.6250000000000001E-2"/>
    <n v="1.125"/>
    <n v="2.25"/>
    <n v="0.5625"/>
    <n v="0.5625"/>
    <n v="3.9937499999999999"/>
  </r>
  <r>
    <x v="52"/>
    <x v="6"/>
    <s v="Gestión de órdenes de fabricación. Notificación de actividades, consumo de componentes y entrada de mercancía."/>
    <s v="Utilización de órdenes diferenciadas para la gestión de reprocesos. Sigue la misma lógica que el procesos de fabricación contra stock. La presima principal es que un producto entra nuevamente a la línea de producción para ser ajustado a los valores de su especificación cuando se ha advertido defectos en el proceso de fabricación. Esto deriva en un sobrecosto."/>
    <n v="0"/>
    <n v="0"/>
    <x v="0"/>
    <s v="01 Baja"/>
    <s v="Para cambios de presentación y reetiquetados."/>
    <n v="3.7499999999999999E-2"/>
    <n v="0.1"/>
    <n v="0.6"/>
    <n v="1.2"/>
    <n v="0.3"/>
    <n v="0.3"/>
    <n v="2.1999999999999997"/>
    <n v="0.05"/>
    <n v="0.4"/>
    <n v="0.8"/>
    <n v="0.2"/>
    <n v="0.2"/>
    <n v="1.45"/>
    <n v="7.5000000000000011E-2"/>
    <n v="0.5"/>
    <n v="1"/>
    <n v="0.25"/>
    <n v="0.25"/>
    <n v="1.825"/>
  </r>
  <r>
    <x v="53"/>
    <x v="6"/>
    <s v="Gestión de órdenes de fabricación que se dervian de un pedido de venta.Notificación de actividades, consumo de componentes y entrada de mercancía."/>
    <s v="Definición del flujo de fabricación en entorno de fabricación discreta. Parte desde la creación de la orden de fabricación como parte de la integración con el área comercial en la creación del pedido de venta hasta su cierre técnico. Incluye acividades de liberación, notificación, abastecimiento de almacenes de piso, ingreso de producto. Este proceso puede ser complementado con la planificación de producción. dentro de sus variantes incluye la entrega de subproductos y coproductos secundarios."/>
    <n v="0"/>
    <n v="0"/>
    <x v="1"/>
    <s v="02 Media"/>
    <s v="Inclusión de HU en la entrega de productos."/>
    <n v="8.4375000000000006E-2"/>
    <n v="0.45"/>
    <n v="1.35"/>
    <n v="2.7"/>
    <n v="0.67500000000000004"/>
    <n v="0.67500000000000004"/>
    <n v="5.1749999999999998"/>
    <n v="0.1125"/>
    <n v="0.9"/>
    <n v="1.8"/>
    <n v="0.45"/>
    <n v="0.45"/>
    <n v="3.2625000000000002"/>
    <n v="0.28125"/>
    <n v="1.125"/>
    <n v="2.25"/>
    <n v="0.5625"/>
    <n v="0.5625"/>
    <n v="4.21875"/>
  </r>
  <r>
    <x v="54"/>
    <x v="6"/>
    <s v="Gestión de órdenes de fabricación que se dervian de un plan de producción de coproductos. Creación de órdenes de los coproductos. Creación de orden combinada.Notificación de actividades, consumo de componentes y entrada de mercancía."/>
    <s v="Definición del flujo de fabricación en entorno de fabricación discreta. Parte desde la creación de la orden de fabricación de manera individual de cada coproducto como parte de la planificación de producción, luego la creación de la orden combinada para la realización de la operación simultánea de los coproductos. Incluye acividades de liberación, notificación, abastecimiento de almacenes de piso, ingreso de producto. Este proceso puede ser complementado con la planificación de producción. dentro de sus variantes incluye la entrega de subproductos y coproductos secundarios."/>
    <n v="0"/>
    <n v="0"/>
    <x v="0"/>
    <s v="01 Baja"/>
    <m/>
    <n v="3.7499999999999999E-2"/>
    <n v="0.1"/>
    <n v="0.6"/>
    <n v="1.2"/>
    <n v="0.3"/>
    <n v="0.3"/>
    <n v="2.1999999999999997"/>
    <n v="0.05"/>
    <n v="0.4"/>
    <n v="0.8"/>
    <n v="0.2"/>
    <n v="0.2"/>
    <n v="1.45"/>
    <n v="7.5000000000000011E-2"/>
    <n v="0.5"/>
    <n v="1"/>
    <n v="0.25"/>
    <n v="0.25"/>
    <n v="1.825"/>
  </r>
  <r>
    <x v="55"/>
    <x v="6"/>
    <s v="Gestión de órdenes de fabricación. Notificación de actividades, consumo de componentes y entrada de mercancía."/>
    <s v="Variante del proceso de fabricación discreta en la que todo o parte de la fabricación se lleva a cabo con un proveedor. Se integra con la logística. A nivel de costo de producción se agrega el servicio de la subcontratación como parte del esquema de costos."/>
    <n v="0"/>
    <n v="0"/>
    <x v="0"/>
    <s v="01 Baja"/>
    <m/>
    <n v="3.7499999999999999E-2"/>
    <n v="0.2"/>
    <n v="0.6"/>
    <n v="1.2"/>
    <n v="0.3"/>
    <n v="0.3"/>
    <n v="2.2999999999999998"/>
    <n v="0.05"/>
    <n v="0.4"/>
    <n v="0.8"/>
    <n v="0.2"/>
    <n v="0.2"/>
    <n v="1.45"/>
    <n v="0.125"/>
    <n v="0.5"/>
    <n v="1"/>
    <n v="0.25"/>
    <n v="0.25"/>
    <n v="1.875"/>
  </r>
  <r>
    <x v="56"/>
    <x v="6"/>
    <s v="Gestión de órdenes de proceso que se derivan de un plan de producción.Notificación de actividades, consumo de componentes y entrada de mercancía."/>
    <s v="Definición del flujo de fabricación en entorno de fabricación por procesos. Parte desde la creación de la orden de proceso hasta su cierre técnico. Incluye cálculo de componente activo, actividades de liberación, notificación, abastecimiento de almacenes de piso, ingreso de producto. Este proceso puede ser complementado con la planificación de producción. dentro de sus variantes incluye la entrega de subproductos y coproductos secundarios. "/>
    <s v="Fabricación de un producto._x000a_Fabricación de coproductos._x000a_Fabricación de subproductos._x000a_Reprocesos._x000a_Fabricación de PT y SE"/>
    <s v="No incluye embalaje con HU._x000a_No se hace cálculo de componente activo._x000a_No se incluye subcontratación."/>
    <x v="2"/>
    <s v="01 Baja"/>
    <m/>
    <n v="0"/>
    <n v="0"/>
    <n v="0"/>
    <n v="0"/>
    <n v="0"/>
    <n v="0"/>
    <n v="0"/>
    <n v="0"/>
    <n v="0"/>
    <n v="0"/>
    <n v="0"/>
    <n v="0"/>
    <n v="0"/>
    <n v="0"/>
    <n v="0"/>
    <n v="0"/>
    <n v="0"/>
    <n v="0"/>
    <n v="0"/>
  </r>
  <r>
    <x v="57"/>
    <x v="6"/>
    <s v="Gestión de órdenes de proceso. Notificación de actividades, consumo de componentes y entrada de mercancía."/>
    <s v="Utilización de órdenes diferenciadas para la gestión de reprocesos. Sigue la misma lógica que el procesos de fabricación contra stock. La presima principal es que un producto entra nuevamente a la línea de producción para ser ajustado a los valores de su especificación cuando se ha advertido defectos en el proceso de fabricación. Esto deriva en un sobrecosto."/>
    <n v="0"/>
    <n v="0"/>
    <x v="2"/>
    <s v="01 Baja"/>
    <m/>
    <n v="0"/>
    <n v="0"/>
    <n v="0"/>
    <n v="0"/>
    <n v="0"/>
    <n v="0"/>
    <n v="0"/>
    <n v="0"/>
    <n v="0"/>
    <n v="0"/>
    <n v="0"/>
    <n v="0"/>
    <n v="0"/>
    <n v="0"/>
    <n v="0"/>
    <n v="0"/>
    <n v="0"/>
    <n v="0"/>
    <n v="0"/>
  </r>
  <r>
    <x v="58"/>
    <x v="6"/>
    <s v="Gestión de órdenes de proceso que se dervian de un pedido de venta.Notificación de actividades, consumo de componentes y entrada de mercancía."/>
    <s v="Definición del flujo de fabricación en entorno de fabricación por procesos. Parte desde la creación de la orden de proceso como parte de la integración con el área comercial en la creación del pedido de venta hasta su cierre técnico. Incluye acividades de liberación, notificación, abastecimiento de almacenes de piso, ingreso de producto. Este proceso puede ser complementado con la planificación de producción. dentro de sus variantes incluye la entrega de subproductos y coproductos secundarios."/>
    <n v="0"/>
    <n v="0"/>
    <x v="2"/>
    <s v="01 Baja"/>
    <m/>
    <n v="0"/>
    <n v="0"/>
    <n v="0"/>
    <n v="0"/>
    <n v="0"/>
    <n v="0"/>
    <n v="0"/>
    <n v="0"/>
    <n v="0"/>
    <n v="0"/>
    <n v="0"/>
    <n v="0"/>
    <n v="0"/>
    <n v="0"/>
    <n v="0"/>
    <n v="0"/>
    <n v="0"/>
    <n v="0"/>
    <n v="0"/>
  </r>
  <r>
    <x v="59"/>
    <x v="6"/>
    <s v="Gestión de colector de costos. Notificación de actividades, consumo de componentes y entrada de mercancía."/>
    <s v="Definición del flujo de fabricación en entorno de fabricación repetitiva. Parte desde la creación del colector de costos hasta la notificación de la producción. Incluye notificación, abastecimiento de almacenes de piso, ingreso de producto. Este proceso puede ser complementado con la planificación de producción. dentro de sus variantes incluye la entrega de subproductos. Recomendado para procesos de fabricación de pocos productos y sencillo esquema de planta."/>
    <s v="Fabricación de un producto._x000a_"/>
    <s v="No incluye embalaje con HU._x000a_No se hace cálculo de componente activo._x000a_No se incluye subcontratación."/>
    <x v="2"/>
    <s v="01 Baja"/>
    <m/>
    <n v="0"/>
    <n v="0.375"/>
    <n v="0"/>
    <n v="0"/>
    <n v="0"/>
    <n v="0"/>
    <n v="0.375"/>
    <n v="0"/>
    <n v="0"/>
    <n v="0"/>
    <n v="0"/>
    <n v="0"/>
    <n v="0"/>
    <n v="0.1875"/>
    <n v="0"/>
    <n v="0"/>
    <n v="0"/>
    <n v="0"/>
    <n v="0.1875"/>
  </r>
  <r>
    <x v="60"/>
    <x v="7"/>
    <s v="Creación, modificación y visualización de puestos de trabajo"/>
    <s v="Definición del uso de los puestos de trabajo en entorno de gestión de proyectos. Descripción de las principales vistas para la planificación y programación de capacidades."/>
    <n v="0"/>
    <n v="0"/>
    <x v="0"/>
    <s v="01 Baja"/>
    <m/>
    <n v="3.7499999999999999E-2"/>
    <n v="3.7499999999999999E-2"/>
    <n v="0.3"/>
    <n v="0.3"/>
    <n v="0.3"/>
    <n v="0"/>
    <n v="0.9375"/>
    <n v="2.5000000000000001E-2"/>
    <n v="0.2"/>
    <n v="0.2"/>
    <n v="0.2"/>
    <n v="0"/>
    <n v="0.625"/>
    <n v="3.125E-2"/>
    <n v="0.25"/>
    <n v="0.25"/>
    <n v="0.25"/>
    <n v="0"/>
    <n v="0.78125"/>
  </r>
  <r>
    <x v="61"/>
    <x v="7"/>
    <s v="Creación de proyecto, creación de elementos PEP en base a la estructura del proyecto. "/>
    <s v="Definición de la estructura de un proyecto. Asignación de perfiles de proyecto que le permite al sistema usar elementos PEP para el control de gastos así como para la ejecución de proyectos de inversión. Establecimiento de las fecha de inicio y fin de las diferentes etaptas, cálcular el costo planeado en base al detalle de materiales y servicios que se vayan a comprar para el proyecto."/>
    <s v="Proyectos solo de elementos PEP._x000a_Proyectos que incluyen grafos."/>
    <n v="0"/>
    <x v="0"/>
    <s v="02 Media"/>
    <s v="Modelamiento de la estructura para Campos: Fundo -&gt;Parcela-&gt; Lote"/>
    <n v="5.6250000000000001E-2"/>
    <n v="0.15"/>
    <n v="0.9"/>
    <n v="1.8"/>
    <n v="0.45"/>
    <n v="0.45"/>
    <n v="3.3000000000000003"/>
    <n v="7.4999999999999997E-2"/>
    <n v="0.6"/>
    <n v="1.2"/>
    <n v="0.3"/>
    <n v="0.3"/>
    <n v="2.1749999999999998"/>
    <n v="0.11249999999999999"/>
    <n v="0.75"/>
    <n v="1.5"/>
    <n v="0.375"/>
    <n v="0.375"/>
    <n v="2.7374999999999998"/>
  </r>
  <r>
    <x v="62"/>
    <x v="7"/>
    <s v="Asignación, liberación y devolución de presupuesto asignado a los PEP del proyecto. Control de disponibilidad del presupuesto."/>
    <s v="Establecer el presupuesto global del proyecto en base a la política de la empresa o en base a los costos planeados del proyecto; permite desagregar el presupuesto a cualquier nivel de la estructura PEP. Permite activar el control de disponibilidad para alertar al planificador cuando el presupuesto esté a un % de su agotamiento y puede impedir que se ejecuten más gastos y comprometidos cuando ya se ha agotado el presupuesto. También permite ampliar el presupuesto con suplementos y hacer traslados de presupuesto entre los diferentes niveles del proyecto."/>
    <s v="Proyecto de gastos generales - OPEX._x000a_Proyectos de inversión - CAPEX"/>
    <n v="0"/>
    <x v="0"/>
    <s v="01 Baja"/>
    <m/>
    <n v="3.7499999999999999E-2"/>
    <n v="7.4999999999999997E-2"/>
    <n v="0.6"/>
    <n v="1.2"/>
    <n v="0.3"/>
    <n v="0.3"/>
    <n v="2.1749999999999998"/>
    <n v="0.05"/>
    <n v="0.4"/>
    <n v="0.8"/>
    <n v="0.2"/>
    <n v="0.2"/>
    <n v="1.45"/>
    <n v="6.25E-2"/>
    <n v="0.5"/>
    <n v="1"/>
    <n v="0.25"/>
    <n v="0.25"/>
    <n v="1.8125"/>
  </r>
  <r>
    <x v="63"/>
    <x v="7"/>
    <s v="Imputación de costos a elementos PEP. Notificación de actividades."/>
    <s v="La ejecución de los proyectos inicia con la liberación del proyecto. Con esto, las diferentes áreas que participan en el proyecto pueden asignar sus actividades a los elementos PEP que les corresponda. Generalmente está integrado a la logística de compras (Compras imputadas) y a la contabilidad dado que en dichas áreas se permiten imputaciones a elementos PEP."/>
    <s v="Proyecto de gastos generales - OPEX._x000a_Proyectos de inversión - CAPEX"/>
    <n v="0"/>
    <x v="0"/>
    <s v="01 Baja"/>
    <m/>
    <n v="3.7499999999999999E-2"/>
    <n v="0.1"/>
    <n v="0.6"/>
    <n v="1.2"/>
    <n v="0.3"/>
    <n v="0.3"/>
    <n v="2.1999999999999997"/>
    <n v="0.05"/>
    <n v="0.4"/>
    <n v="0.8"/>
    <n v="0.2"/>
    <n v="0.2"/>
    <n v="1.45"/>
    <n v="7.5000000000000011E-2"/>
    <n v="0.5"/>
    <n v="1"/>
    <n v="0.25"/>
    <n v="0.25"/>
    <n v="1.825"/>
  </r>
  <r>
    <x v="64"/>
    <x v="7"/>
    <s v="Cierre técnico, liquidación periódica, liquidación total, cierre total de proyectos."/>
    <s v="Cada cierre de mes, a pesar que no se ha concluido un proyecto, se debe realizar la liquidación para que los costos del proyecto se vena reflejados en el gasto a través de centros de costo o en un activo fijo en curso. Si el proyecto ha concluido, el cierre técnico es la señal para que en la liquidación se realice la liquidación total del proyecto; con la liquidación total se puede proceder al cierre total del proyecto. El cierre total impedirá que se signa contabilizando partidas al proyecto."/>
    <s v="Liquidaciones contra centros de costo._x000a_Liquidación contra Activos Fijos._x000a_Liquidación con medidas de inversión._x000a_Traslado a AF finales."/>
    <n v="0"/>
    <x v="0"/>
    <s v="02 Media"/>
    <s v="Asignación de costos de proyecto al costo de producción a través de liquidaciones del PEP a orden de fabricación."/>
    <n v="5.6250000000000001E-2"/>
    <n v="0"/>
    <n v="0.9"/>
    <n v="1.8"/>
    <n v="0.45"/>
    <n v="0.45"/>
    <n v="3.1500000000000004"/>
    <n v="7.4999999999999997E-2"/>
    <n v="0.6"/>
    <n v="1.2"/>
    <n v="0.3"/>
    <n v="0.3"/>
    <n v="2.1749999999999998"/>
    <n v="3.7499999999999999E-2"/>
    <n v="0.75"/>
    <n v="1.5"/>
    <n v="0.375"/>
    <n v="0.375"/>
    <n v="2.6625000000000001"/>
  </r>
  <r>
    <x v="65"/>
    <x v="7"/>
    <s v="Seguimiento de proyectos._x000a_Estructura de proyecto._x000a_Seguimiento de avance, presupuesto asignado, comprometido y disponible._x000a_Costo detallado de proyecto."/>
    <s v="Periódicamente se revisa la salud del proyecto en base al avance que se reporta de manera integrada con las áreas que intervienen en el proyecto. Todo documento imputado al proyecto compromete presupuesto y rebaja la disponibilidad del mismo, asímismo se tiene una trazabilidad de todas las partidas que se han contabilizado al proyecto."/>
    <n v="0"/>
    <s v="No contempla % de avance del proyecto._x000a_No contempla curva S"/>
    <x v="0"/>
    <s v="01 Baja"/>
    <m/>
    <n v="3.7499999999999999E-2"/>
    <n v="0.1"/>
    <n v="0.15"/>
    <n v="0.6"/>
    <n v="0"/>
    <n v="0.3"/>
    <n v="0.85"/>
    <n v="0.05"/>
    <n v="0.1"/>
    <n v="0.4"/>
    <n v="0"/>
    <n v="0.2"/>
    <n v="0.55000000000000004"/>
    <n v="7.5000000000000011E-2"/>
    <n v="0.125"/>
    <n v="0.5"/>
    <n v="0"/>
    <n v="0.25"/>
    <n v="0.7"/>
  </r>
  <r>
    <x v="66"/>
    <x v="8"/>
    <s v="Catalogos_x000a_Características de inspección_x000a_Procedimientos de muestreo_x000a_Métodos de inspección_x000a_Puestos de trabajo_x000a_Planes de inspección"/>
    <s v="En SAP S/4HANA la gestión de datos maestros permite a la organización contar con información centralizada y homogénea para realizar los diversos procesos integrados de la empresa. Los datos maestros permiten construir las especificaciones de calidad de los procesos y productos; también permiten registrar los acuerdos de calidad de proveedores. Estos datos sirven para planificar el control de calidad ya que en ellos residen los valores de aceptación de los análisis de las muestras.  "/>
    <s v="Catálogo de características._x000a_Conjuntos de selección"/>
    <n v="0"/>
    <x v="2"/>
    <s v="01 Baja"/>
    <m/>
    <n v="0"/>
    <n v="0"/>
    <n v="0"/>
    <n v="0"/>
    <n v="0"/>
    <n v="0"/>
    <n v="0"/>
    <n v="0"/>
    <n v="0"/>
    <n v="0"/>
    <n v="0"/>
    <n v="0"/>
    <n v="0"/>
    <n v="0"/>
    <n v="0"/>
    <n v="0"/>
    <n v="0"/>
    <n v="0"/>
    <n v="0"/>
  </r>
  <r>
    <x v="67"/>
    <x v="8"/>
    <s v="Creación de lote de inspección. Registro de resultados. Decisión de empleo"/>
    <s v="Define el tratamiento de las inspecciones en los procesos de compra. Inicia con la creación del lote de inspección de manera automática cuando en el almacén se hace la recepción de la mercadería. El lote entra al estado de control de calidad. En este estado sólo el área de calidad puede darle un tratamiento. Luego se registran los resultados de las muestras de acuerdo al plan de inspección. Finalmente se registra la decisión de empleo en el que se determina si el lote debe ser liberado, bloqueado o devuelto."/>
    <s v="Lotes contabilizados en la EM de las órdenes de compra."/>
    <s v="Inspección adelantada sin EM."/>
    <x v="2"/>
    <s v="01 Baja"/>
    <m/>
    <n v="0"/>
    <n v="0"/>
    <n v="0"/>
    <n v="0"/>
    <n v="0"/>
    <n v="0"/>
    <n v="0"/>
    <n v="0"/>
    <n v="0"/>
    <n v="0"/>
    <n v="0"/>
    <n v="0"/>
    <n v="0"/>
    <n v="0"/>
    <n v="0"/>
    <n v="0"/>
    <n v="0"/>
    <n v="0"/>
    <n v="0"/>
  </r>
  <r>
    <x v="68"/>
    <x v="8"/>
    <s v="Creación de lote de inspección. Registro de resultados. Decisión de empleo"/>
    <s v="Define el tratamiento de las inspecciones en producción. Inicia con la creación del lote de inspección de manera automática cuando inicia el proceso productivo. Luego cuando en el almacén se hace la recepción de la mercadería el lote entra al estado de control de calidad, en este estado sólo el área de calidad puede darle un tratamiento. Luego se registran los resultados de las muestras de acuerdo con el plan de inspección. Finalmente se registra la decisión de empleo que determina si el lote debe ser liberado o rechazado. "/>
    <s v="Lotes en proceso._x000a_Lotes terminados."/>
    <s v="SPC.Gráficas de calidad."/>
    <x v="2"/>
    <s v="01 Baja"/>
    <m/>
    <n v="0"/>
    <n v="0"/>
    <n v="0"/>
    <n v="0"/>
    <n v="0"/>
    <n v="0"/>
    <n v="0"/>
    <n v="0"/>
    <n v="0"/>
    <n v="0"/>
    <n v="0"/>
    <n v="0"/>
    <n v="0"/>
    <n v="0"/>
    <n v="0"/>
    <n v="0"/>
    <n v="0"/>
    <n v="0"/>
    <n v="0"/>
  </r>
  <r>
    <x v="69"/>
    <x v="8"/>
    <s v="Creación de lote de inspección. Registro de resultados. Decisión de empleo"/>
    <s v="Define el tratamiento de las inspecciones en el almacén. Inicia con la creación del lote de inspección de manera automática cuando ocurren traslados. El lote entra al estado de control de calidad. En este estado sólo el área de calidad puede darle un tratamiento. Luego se registran los resultados de las muestras de acuerdo al plan de inspección. Finalmente se registra la decisión de empleo en el que se determina si el lote debe ser liberado, bloqueado o devuelto."/>
    <n v="0"/>
    <n v="0"/>
    <x v="2"/>
    <s v="01 Baja"/>
    <m/>
    <n v="0"/>
    <n v="0"/>
    <n v="0"/>
    <n v="0"/>
    <n v="0"/>
    <n v="0"/>
    <n v="0"/>
    <n v="0"/>
    <n v="0"/>
    <n v="0"/>
    <n v="0"/>
    <n v="0"/>
    <n v="0"/>
    <n v="0"/>
    <n v="0"/>
    <n v="0"/>
    <n v="0"/>
    <n v="0"/>
    <n v="0"/>
  </r>
  <r>
    <x v="70"/>
    <x v="8"/>
    <s v="Creación, modificación y visualización de avisos de reclamación"/>
    <s v="Proceso de investigación de causa raiz cada vez que ocurre una incidencia de calidad que se atribuye al proveedor. Se crea un aviso de reclamo al proveedor donde se especifica el materia, lote, cantidad, etc. Se documentan las diferentes actividades de seguimiento al incidente y finalmente se cierra el aviso con el resultado de la investigación."/>
    <n v="0"/>
    <n v="0"/>
    <x v="2"/>
    <s v="01 Baja"/>
    <m/>
    <n v="0"/>
    <n v="0"/>
    <n v="0"/>
    <n v="0"/>
    <n v="0"/>
    <n v="0"/>
    <n v="0"/>
    <n v="0"/>
    <n v="0"/>
    <n v="0"/>
    <n v="0"/>
    <n v="0"/>
    <n v="0"/>
    <n v="0"/>
    <n v="0"/>
    <n v="0"/>
    <n v="0"/>
    <n v="0"/>
    <n v="0"/>
  </r>
  <r>
    <x v="71"/>
    <x v="8"/>
    <s v="Creación, modificación y visualización de avisos de reclamación"/>
    <s v="Proceso de investigación de causa raiz cada vez que ocurre una incidencia de calidad que un cliente le atribuye a la empresa. Se crea un aviso de reclamo del cliente donde se especifica el materia, lote, cantidad, etc. Se documentan las diferentes actividades de seguimiento al incidente y finalmente se cierra el aviso con el resultado de la investigación."/>
    <n v="0"/>
    <n v="0"/>
    <x v="2"/>
    <s v="01 Baja"/>
    <m/>
    <n v="0"/>
    <n v="0"/>
    <n v="0"/>
    <n v="0"/>
    <n v="0"/>
    <n v="0"/>
    <n v="0"/>
    <n v="0"/>
    <n v="0"/>
    <n v="0"/>
    <n v="0"/>
    <n v="0"/>
    <n v="0"/>
    <n v="0"/>
    <n v="0"/>
    <n v="0"/>
    <n v="0"/>
    <n v="0"/>
    <n v="0"/>
  </r>
  <r>
    <x v="72"/>
    <x v="8"/>
    <s v="Creación, modificación y visualización de avisos de reclamación"/>
    <s v="Proceso de investigación de causa raiz cada vez que ocurre una incidencia de calidad que se atribuye a algún proceso interno. Se crea un aviso de reclamo interno donde se especifica el materia, lote, cantidad, etc. Se documentan las diferentes actividades de seguimiento al incidente y finalmente se cierra el aviso con el resultado de la investigación."/>
    <n v="0"/>
    <n v="0"/>
    <x v="2"/>
    <s v="01 Baja"/>
    <m/>
    <n v="0"/>
    <n v="0"/>
    <n v="0"/>
    <n v="0"/>
    <n v="0"/>
    <n v="0"/>
    <n v="0"/>
    <n v="0"/>
    <n v="0"/>
    <n v="0"/>
    <n v="0"/>
    <n v="0"/>
    <n v="0"/>
    <n v="0"/>
    <n v="0"/>
    <n v="0"/>
    <n v="0"/>
    <n v="0"/>
    <n v="0"/>
  </r>
  <r>
    <x v="73"/>
    <x v="8"/>
    <s v="Creación de defecto. Uso de método 8D de solución de problemas. Crear tareas."/>
    <s v="Investigación de defectos con método 8D"/>
    <n v="0"/>
    <n v="0"/>
    <x v="2"/>
    <s v="01 Baja"/>
    <m/>
    <n v="0"/>
    <n v="0"/>
    <n v="0"/>
    <n v="0"/>
    <n v="0"/>
    <n v="0"/>
    <n v="0"/>
    <n v="0"/>
    <n v="0"/>
    <n v="0"/>
    <n v="0"/>
    <n v="0"/>
    <n v="0"/>
    <n v="0"/>
    <n v="0"/>
    <n v="0"/>
    <n v="0"/>
    <n v="0"/>
    <n v="0"/>
  </r>
  <r>
    <x v="74"/>
    <x v="3"/>
    <s v="Organización de Ventas_x000a_Canal de Distribución_x000a_Sector_x000a_Área de ventas_x000a_Oficina de Ventas_x000a_Área de ventas y oficina_x000a_Grupo de Vendedores_x000a_Grupo de Vendedores por oficina_x000a_Vendedores_x000a_Centro _x000a_Puesto de Expedición_x000a_Puesto de Expedición por centro"/>
    <s v="En la estructura SAP se representa la vista jurídica u organizativa de una empresa como los niveles de la organización. La determinación de dichos niveles constituye la Estructura Organizativa y corresponde, a un requisito escencial tanto para la determinación de los datos maestros como para los procesos a definir en la empresa."/>
    <n v="0"/>
    <n v="0"/>
    <x v="0"/>
    <s v="01 Baja"/>
    <m/>
    <n v="3.7499999999999999E-2"/>
    <n v="3.7499999999999999E-2"/>
    <n v="0.15"/>
    <n v="0.15"/>
    <n v="0"/>
    <n v="0"/>
    <n v="0.33750000000000002"/>
    <n v="2.5000000000000001E-2"/>
    <n v="0.1"/>
    <n v="0.1"/>
    <n v="0"/>
    <n v="0"/>
    <n v="0.22500000000000001"/>
    <n v="3.125E-2"/>
    <n v="0.125"/>
    <n v="0.125"/>
    <n v="0"/>
    <n v="0"/>
    <n v="0.28125"/>
  </r>
  <r>
    <x v="75"/>
    <x v="3"/>
    <s v="Definición de agrupación BP_x000a_Funciones interlocutor del Business Partner_x000a_Datos interlocutor general_x000a_Datos de deudor_x000a_Datos de cliente_x000a_Datos de proveedor_x000a_Datos de acreedor_x000a_Business Partner en Fiori"/>
    <s v="Corresponden a los datos que contienen información relevante para los procesos de negocio, los mismos que son almacenados centralmente, para ser empleados y procesados a través de las aplicaciones en SAP. Respecto al maestro de Interlocutor comercial o business partner, contiene información referido al cliente de una empresa."/>
    <s v="Los BP que se pueden crear son:_x000a_-BP General_x000a_-BP Relacionada(Empresa del mismo grupo)_x000a_-BP Colaborador_x000a_-BP Centro_x000a_-BP Destinatario de Mercadería_x000a_-BP Eventual CPD_x000a_-BP Contactos_x000a__x000a_"/>
    <n v="0"/>
    <x v="0"/>
    <s v="01 Baja"/>
    <m/>
    <n v="3.7499999999999999E-2"/>
    <n v="7.4999999999999997E-2"/>
    <n v="0.3"/>
    <n v="0.3"/>
    <n v="0.3"/>
    <n v="0"/>
    <n v="0.97500000000000009"/>
    <n v="2.5000000000000001E-2"/>
    <n v="0.2"/>
    <n v="0.2"/>
    <n v="0.2"/>
    <n v="0"/>
    <n v="0.625"/>
    <n v="0.05"/>
    <n v="0.25"/>
    <n v="0.25"/>
    <n v="0.25"/>
    <n v="0"/>
    <n v="0.8"/>
  </r>
  <r>
    <x v="76"/>
    <x v="3"/>
    <s v="Clases de condiciones_x000a_Secuencia de acceso _x000a_Esquema de cálculo_x000a_Reporte"/>
    <s v="De manera similar a los mencionados anteriormente, almacenan datos de forma centralizada que puede ser empleadas en los procesos comerciales. En este caso, se definen todas las condiciones que representan los acuerdos con los clientes sobre precios, descuentos, entre otras y que pueden ser empleados en los procesos comerciales. Así como, la forma en la que se encontraran estructuradas dichas condiciones en los pedidos de venta."/>
    <s v="Un solo esquema de cálculo que incluye:_x000a_Condiciones: Precios, descuento fijo, descuento porcentual, recargo fijo, recargo porcentual, descuento por anticipo, IGV %, recargo estadístico x detracción, Retención y costo del producto._x000a_Precio:_x000a_- Organización de ventas / Canal de Distribución / Cliente / Material _x000a_- Organización de ventas / Canal de Distribución / Tipo lista /Moneda/ Material _x000a_- Organización de ventas / Canal de Distribución / Material _x000a_Descuentos: _x000a_Descuento ZD01: _x000a_Organización de ventas / Cliente / Material _x000a_Organización de ventas / Grupo de clientes / Material _x000a_Organización de ventas / Canal de Distribución / Material  _x000a_Bonificación ZNA0: _x000a_Organización de ventas / Canal de Distribución / Cliente/ Material _x000a_Organización de ventas / Canal de Distribución / Material _x000a_ Impuestos:  _x000a_ZIGV: _x000a_País / País Receptor / Clasificación Fiscal Cliente / Clasificación Fiscal Material _x000a_País / Clasificación Fiscal Cliente / Clasificación Fiscal Material "/>
    <n v="0"/>
    <x v="0"/>
    <s v="01 Baja"/>
    <m/>
    <n v="3.7499999999999999E-2"/>
    <n v="7.4999999999999997E-2"/>
    <n v="0.3"/>
    <n v="0.3"/>
    <n v="0.3"/>
    <n v="0"/>
    <n v="0.97500000000000009"/>
    <n v="2.5000000000000001E-2"/>
    <n v="0.2"/>
    <n v="0.2"/>
    <n v="0.2"/>
    <n v="0"/>
    <n v="0.625"/>
    <n v="0.05"/>
    <n v="0.25"/>
    <n v="0.25"/>
    <n v="0.25"/>
    <n v="0"/>
    <n v="0.8"/>
  </r>
  <r>
    <x v="77"/>
    <x v="3"/>
    <s v="Cotización_x000a_Pedido de Venta Nacional y Exportación_x000a_- Verificación de stock _x000a_- Verificación de crédito_x000a_Proceso de Expedición_x000a_Facturación_x000a_Facturación Electrónica_x000a_Reportes"/>
    <s v="Este proceso en SAP soporta la comercialización de existencia a clientes nacionales o extranjeros, el mismo que abarca desde la actividad de preventa hasta el cierre de la venta. Para ello, se puede comprometer el stock; con el objetivo, de asegurar la entrega del pedido del cliente. En el caso que el cliente cuente con línea de crédito, se puede validará desde la puesta del documento comercial. _x000a_Cabe mencionar que, para los procesos definidos en SAP, las existencias son aquellas que: _x000a_- Emplean un código de material, que contará con gestión de cantidad y valor._x000a_- El ingreso de dicho material es contabilizado en ctas. de existencias."/>
    <s v="Venta Nacional Afecta al IGV._x000a_Venta Nacional Inafecta al IGV._x000a_Venta Nacional Afecta al IGV y con Descuento en las líneas de detalle._x000a_Venta Nacional Afecta al IGV y con Descuento al total del comprobante._x000a_Venta Nacional Afecta al IGV en dólares USD/EUR_x000a_Autodetracción._x000a_Venta Exportación Inafecta al IGV_x000a_Venta Exportación FOB._x000a_Venta Exportación FOB con Descuento en las líneas de detalle._x000a_Venta Exportación FOB con Descuento al total del comprobante."/>
    <s v="No incluye otros impuestos: ISC, plásticos, etc."/>
    <x v="1"/>
    <s v="02 Media"/>
    <s v="Detalles adicionales en el despacho y descripción adecuada del proceso para atender las exportaciones y documentación necesaria que se deba manejar sin el uso de TM."/>
    <n v="8.4375000000000006E-2"/>
    <n v="0"/>
    <n v="1.35"/>
    <n v="2.7"/>
    <n v="0.67500000000000004"/>
    <n v="0.67500000000000004"/>
    <n v="4.7250000000000005"/>
    <n v="0.1125"/>
    <n v="0.9"/>
    <n v="1.8"/>
    <n v="0.45"/>
    <n v="0.45"/>
    <n v="3.2625000000000002"/>
    <n v="5.6250000000000001E-2"/>
    <n v="1.125"/>
    <n v="2.25"/>
    <n v="0.5625"/>
    <n v="0.5625"/>
    <n v="3.9937499999999999"/>
  </r>
  <r>
    <x v="78"/>
    <x v="3"/>
    <n v="0"/>
    <n v="0"/>
    <n v="0"/>
    <n v="0"/>
    <x v="2"/>
    <s v="01 Baja"/>
    <m/>
    <n v="0"/>
    <n v="0"/>
    <n v="0"/>
    <n v="0"/>
    <n v="0"/>
    <n v="0"/>
    <n v="0"/>
    <n v="0"/>
    <n v="0"/>
    <n v="0"/>
    <n v="0"/>
    <n v="0"/>
    <n v="0"/>
    <n v="0"/>
    <n v="0"/>
    <n v="0"/>
    <n v="0"/>
    <n v="0"/>
    <n v="0"/>
  </r>
  <r>
    <x v="79"/>
    <x v="3"/>
    <s v="Pedido de anticipo _x000a_Facturación _x000a_Facturación Electrónica_x000a_Utilización del anticipo en la venta _x000a_Reportes"/>
    <s v="Este proceso en SAP soporta el uso de la emisión de factura o boleta por el concepto anticipos; es decir, cuando el cliente realiza un adelanto por la adquisición de productos o servicios, que comprará posteriormente en la misma moneda._x000a_Siendo la propuesta de este modelo, aplicar el anticipo como un descuento en el pedido de venta de los productos finales; de modo que, solo se facture el saldo pendiente y emplear la menor cantidad de documentos de facturación. Otra opción es generar un Nota de crédito del anticipo, que luego compensará parcialmente la factura por el importe total de la compra, de modo que el cliente solo paga el saldo de la misma."/>
    <s v="Venta Anticipo Afecta al IGV._x000a_Nota de Crédito de Anticipo y Venta Nacional se compensa en la cobranza._x000a_Venta Nacional con Descuento Manual de Anticipo. _x000a_"/>
    <s v="No incluye otros impuestos: ISC, plásticos, etc."/>
    <x v="2"/>
    <s v="01 Baja"/>
    <m/>
    <n v="0"/>
    <n v="0"/>
    <n v="0"/>
    <n v="0"/>
    <n v="0"/>
    <n v="0"/>
    <n v="0"/>
    <n v="0"/>
    <n v="0"/>
    <n v="0"/>
    <n v="0"/>
    <n v="0"/>
    <n v="0"/>
    <n v="0"/>
    <n v="0"/>
    <n v="0"/>
    <n v="0"/>
    <n v="0"/>
    <n v="0"/>
  </r>
  <r>
    <x v="80"/>
    <x v="3"/>
    <s v="Pedido de Venta Calzada_x000a_- Verificación de crédito_x000a_- Generación de solicitud de pedido _x000a_Proceso de compra_x000a_Proceso de Expedición_x000a_Facturación_x000a_Facturación Electrónica_x000a_Reportes"/>
    <s v="Este proceso se da cuando el producto que requiere el cliente se abastece con un proceso de compra; si no hay stock disponible entonces desde el pedido de venta se genera una solicitud de compra; el stock que ingresa es exclusivo para la venta calzada."/>
    <s v="Venta Afecta al IGV._x000a_Venta Inafecta al IGV._x000a_Venta Afecta al IGV y con Descuento al total del comprobante._x000a_Venta Afecta al IGV y con Descuento en las líneas de detalle._x000a_Venta Afecta al IGV en dólares USD._x000a_"/>
    <s v="No incluye otros impuestos: ISC, plásticos, etc."/>
    <x v="2"/>
    <s v="01 Baja"/>
    <m/>
    <n v="0"/>
    <n v="0"/>
    <n v="0"/>
    <n v="0"/>
    <n v="0"/>
    <n v="0"/>
    <n v="0"/>
    <n v="0"/>
    <n v="0"/>
    <n v="0"/>
    <n v="0"/>
    <n v="0"/>
    <n v="0"/>
    <n v="0"/>
    <n v="0"/>
    <n v="0"/>
    <n v="0"/>
    <n v="0"/>
    <n v="0"/>
  </r>
  <r>
    <x v="81"/>
    <x v="3"/>
    <s v="Pedido de Transferencia Gratuita y Donaciones_x000a_- Verificación de stock_x000a_Proceso de Expedición_x000a_Facturación_x000a_Reportes"/>
    <s v="Estos procesos son soportados en SAP bajo ciertas particularidades:_x000a_- El caso de transferencia gratuita se presenta cuando se regala un producto; por lo tanto, la venta estaría valorizado a cero. Para ello, se aplica un descuento del 100% al precio de venta y en el documento de facturación, se debe indicar que es corresponde a una transferencia gratuita. _x000a_- El caso de donaciones se genera cuando se concede a una entidad y dependencia del Sector Público Nacional mercadería para brindarles apoyo o ayuda.  En dicho caso, la factura se emite con el valor de venta regular pero el importe a cobrar es cero."/>
    <s v="Venta Transferencia Gratuita afecta a IGV_x000a_Venta Donaciones Inafecta_x000a_"/>
    <n v="0"/>
    <x v="0"/>
    <s v="01 Baja"/>
    <m/>
    <n v="3.7499999999999999E-2"/>
    <n v="0.15"/>
    <n v="0.6"/>
    <n v="1.2"/>
    <n v="0.3"/>
    <n v="0.3"/>
    <n v="2.25"/>
    <n v="0.05"/>
    <n v="0.4"/>
    <n v="0.8"/>
    <n v="0.2"/>
    <n v="0.2"/>
    <n v="1.45"/>
    <n v="0.1"/>
    <n v="0.5"/>
    <n v="1"/>
    <n v="0.25"/>
    <n v="0.25"/>
    <n v="1.85"/>
  </r>
  <r>
    <x v="82"/>
    <x v="3"/>
    <s v="Venta Intercompany (Proceso de compras MM) en la sociedad compradora_x000a_Proceso de Expedición (en la sociedad vendedora)_x000a_Facturación (en la sociedad vendedora)_x000a_Facturación Electrónica_x000a_Entrada de Mercadería (Proceso MM en la sociedad compradora)_x000a_Registro de Factura_x000a_Conciliación manual entre cuenta por cobrar y cuenta por pagar entre sociedades_x000a_Devolución Intercompany_x000a_Reportes"/>
    <s v="Este proceso comercial se desarrolla entre dos empresas (sociedades) que pertenecen a una misma organización o grupo empresarial. La empresa ordenante solicita mercancías de un centro que pertenece a otra sociedad y dado que, cada empresa tiene su propio plan contable, la empresa que entrega la mercadería debe facturar a la sociedad que ingrese el pedido de compra intercompany. El precio de dicha factura tiene un valor que permite a la empresa proveedora cubrir sus costos. "/>
    <s v="Venta Intercompany Afecta al IGV._x000a_Venta Intercompany Inafecta al IGV._x000a_"/>
    <s v="Entre sociedades de Perú"/>
    <x v="0"/>
    <s v="01 Baja"/>
    <m/>
    <n v="3.7499999999999999E-2"/>
    <n v="0.15"/>
    <n v="0.6"/>
    <n v="1.2"/>
    <n v="0.3"/>
    <n v="0.3"/>
    <n v="2.25"/>
    <n v="0.05"/>
    <n v="0.4"/>
    <n v="0.8"/>
    <n v="0.2"/>
    <n v="0.2"/>
    <n v="1.45"/>
    <n v="0.1"/>
    <n v="0.5"/>
    <n v="1"/>
    <n v="0.25"/>
    <n v="0.25"/>
    <n v="1.85"/>
  </r>
  <r>
    <x v="83"/>
    <x v="3"/>
    <n v="0"/>
    <n v="0"/>
    <n v="0"/>
    <n v="0"/>
    <x v="2"/>
    <s v="01 Baja"/>
    <m/>
    <n v="0"/>
    <n v="0.5"/>
    <n v="0"/>
    <n v="0"/>
    <n v="0"/>
    <n v="0"/>
    <n v="0.5"/>
    <n v="0"/>
    <n v="0"/>
    <n v="0"/>
    <n v="0"/>
    <n v="0"/>
    <n v="0"/>
    <n v="0.25"/>
    <n v="0"/>
    <n v="0"/>
    <n v="0"/>
    <n v="0"/>
    <n v="0.25"/>
  </r>
  <r>
    <x v="84"/>
    <x v="3"/>
    <s v="Reposición de artículos en consignación:_x000a_- Pedido de Reposición Art. en consignación_x000a_- Proceso de Expedición_x000a_Toma de artículos en consignación_x000a_- Pedido de Toma Art. en consignación_x000a_- Procedo de Expedición_x000a_- Facturación_x000a_- Facturación Electrónica_x000a_Recojo de artículos en consignación_x000a_- Pedido de Recojo Art. en consignación_x000a_- Proceso de Expedición_x000a_Devolución de artículos en consignación_x000a_- Pedido de Devolución Art. en consignación_x000a_- Proceso de Expedición_x000a_- Facturación_x000a_- Facturación Electrónica_x000a_Reportes"/>
    <s v="Este proceso se da cuando la empresa da en consignación sus productos por ejemplo a distribuidores menores; el stock físicamente va a los distribuidores, pero aún es propiedad de la empresa; hasta que el distribuidor hace la venta al cliente final. _x000a_Hay 4 escenarios para el tratamiento de este proceso: _x000a_- La reposición del producto o envió a consignación al distribuidor_x000a_- La toma cuando el producto consignado se vende al cliente final_x000a_- El recojo cuando el distribuidor devuelve el producto a la empresa_x000a_- La devolución cuando el cliente final devuelve el producto al distribuidor"/>
    <s v="Reposición de artículos en Consignación sin Precio._x000a_Toma de artículos en Consignación Afecto al IGV._x000a_Devolución de artículos en Consignación Afecto al IGV._x000a_Recojo de artículos en Consignación sin Precio._x000a_"/>
    <n v="0"/>
    <x v="0"/>
    <s v="02 Media"/>
    <s v="Revisión del proceso dado que se hacen liquidaciones con el cliente a pesar de no manejar el stock en consignación."/>
    <n v="5.6250000000000001E-2"/>
    <n v="0.3"/>
    <n v="0.9"/>
    <n v="1.8"/>
    <n v="0.45"/>
    <n v="0.45"/>
    <n v="3.45"/>
    <n v="7.4999999999999997E-2"/>
    <n v="0.6"/>
    <n v="1.2"/>
    <n v="0.3"/>
    <n v="0.3"/>
    <n v="2.1749999999999998"/>
    <n v="0.1875"/>
    <n v="0.75"/>
    <n v="1.5"/>
    <n v="0.375"/>
    <n v="0.375"/>
    <n v="2.8125"/>
  </r>
  <r>
    <x v="85"/>
    <x v="3"/>
    <s v="Contrato por Valor_x000a_- Contrato_x000a_- Pedido mensual _x000a_- Facturación_x000a_- Facturación Electrónica_x000a_Contrato con Plan de Facturación_x000a_- Contrato_x000a_- Facturación_x000a_- Facturación Electrónica_x000a_Reportes"/>
    <s v="Esta funcionalidad da soporte para registrar contratos por valor por ejemplo si la empresa tiene contratos de alquiler que facturan mensualmente."/>
    <s v="Contrato con Pedido de Venta Afecto al IGV._x000a_Contrato con Plan de Facturación Afecto al IGV._x000a_"/>
    <n v="0"/>
    <x v="2"/>
    <s v="01 Baja"/>
    <m/>
    <n v="0"/>
    <n v="0.5"/>
    <n v="0"/>
    <n v="0"/>
    <n v="0"/>
    <n v="0"/>
    <n v="0.5"/>
    <n v="0"/>
    <n v="0"/>
    <n v="0"/>
    <n v="0"/>
    <n v="0"/>
    <n v="0"/>
    <n v="0.25"/>
    <n v="0"/>
    <n v="0"/>
    <n v="0"/>
    <n v="0"/>
    <n v="0.25"/>
  </r>
  <r>
    <x v="86"/>
    <x v="3"/>
    <s v="Contrato por Valor_x000a_- Contrato_x000a_- Pedido mensual _x000a_- Facturación_x000a_- Facturación Electrónica_x000a_Contrato con Plan de Facturación_x000a_- Contrato_x000a_- Facturación_x000a_- Facturación Electrónica_x000a_Reportes"/>
    <s v="Esta funcionalidad da soporte para registrar contratos por valor por ejemplo si la empresa tiene contratos de alquiler que facturan mensualmente."/>
    <s v="Contrato con Pedido de Venta Afecto al IGV._x000a_Contrato con Plan de Facturación Afecto al IGV._x000a_"/>
    <n v="0"/>
    <x v="2"/>
    <s v="01 Baja"/>
    <m/>
    <n v="0"/>
    <n v="0.5"/>
    <n v="0"/>
    <n v="0"/>
    <n v="0"/>
    <n v="0"/>
    <n v="0.5"/>
    <n v="0"/>
    <n v="0"/>
    <n v="0"/>
    <n v="0"/>
    <n v="0"/>
    <n v="0"/>
    <n v="0.25"/>
    <n v="0"/>
    <n v="0"/>
    <n v="0"/>
    <n v="0"/>
    <n v="0.25"/>
  </r>
  <r>
    <x v="87"/>
    <x v="3"/>
    <s v="Nota de Crédito por Valor_x000a_- Solicitud de Nota de crédito _x000a_- Facturación_x000a_- Facturación Electrónica_x000a_Nota de Crédito por Devolución_x000a_- Solicitud de Nota de crédito de devolución_x000a_- Devolución de mercadería_x000a_- Facturación_x000a_- Facturación Electrónica_x000a_Nota de Débito:_x000a_- Solicitud de Nota de débito_x000a_- Facturación_x000a_- Facturación Electrónica"/>
    <s v="Este proceso da soporte a los eventos que se pueden presentar post-venta tanto a favor del cliente como a favor del proveedor. Dentro de este proceso se pueden atender casos como los siguientes:_x000a_- Cuando el cliente hace u n reclamo y este procede, puede devolver la mercadería o dársele crédito a favor._x000a_- Cuando se ha incumplido una condición de la venta y/o se presentó a ajuste sobre el precio."/>
    <s v="Nota de Crédito Afecta al IGV_x000a_Nota de Crédito Inafecta_x000a_Nota de Crédito Afecta al IGV sin referencia_x000a_Nota de Crédito de Devolución Parcial Afecta al IGV_x000a_Nota de Crédito de Devolución Total Afecta al IGV_x000a_Nota de Crédito de Devolución sin referencia Afecta al IGV_x000a_Nota de debito Afecta al IGV_x000a_"/>
    <n v="0"/>
    <x v="0"/>
    <s v="02 Media"/>
    <s v="No tiene sentido devoluciones por ser productos perecibles. Se debe majera ajuste por valor."/>
    <n v="5.6250000000000001E-2"/>
    <n v="0.3"/>
    <n v="0.9"/>
    <n v="1.8"/>
    <n v="0.45"/>
    <n v="0.45"/>
    <n v="3.45"/>
    <n v="7.4999999999999997E-2"/>
    <n v="0.6"/>
    <n v="1.2"/>
    <n v="0.3"/>
    <n v="0.3"/>
    <n v="2.1749999999999998"/>
    <n v="0.1875"/>
    <n v="0.75"/>
    <n v="1.5"/>
    <n v="0.375"/>
    <n v="0.375"/>
    <n v="2.8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FE4168-FDC9-4B12-8B15-86E846693E22}"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2:C42" firstHeaderRow="0" firstDataRow="1" firstDataCol="1"/>
  <pivotFields count="28">
    <pivotField showAll="0"/>
    <pivotField axis="axisRow" showAll="0">
      <items count="10">
        <item x="0"/>
        <item x="1"/>
        <item x="2"/>
        <item x="4"/>
        <item x="5"/>
        <item x="6"/>
        <item x="7"/>
        <item x="8"/>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Exploración Pro" fld="23" baseField="0" baseItem="0"/>
    <dataField name="Relización Pro" fld="24" baseField="0" baseItem="0"/>
  </dataFields>
  <formats count="2">
    <format dxfId="4">
      <pivotArea collapsedLevelsAreSubtotals="1" fieldPosition="0">
        <references count="1">
          <reference field="1" count="0"/>
        </references>
      </pivotArea>
    </format>
    <format dxfId="3">
      <pivotArea grandRow="1"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63AD67-F864-4CBF-9171-EC2D50E61801}"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8:C28" firstHeaderRow="0" firstDataRow="1" firstDataCol="1"/>
  <pivotFields count="28">
    <pivotField showAll="0"/>
    <pivotField axis="axisRow" showAll="0">
      <items count="10">
        <item x="0"/>
        <item x="1"/>
        <item x="2"/>
        <item x="4"/>
        <item x="5"/>
        <item x="6"/>
        <item x="7"/>
        <item x="8"/>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Suma de Explore MIN" fld="17" baseField="0" baseItem="0"/>
    <dataField name="Suma de Realize MIN" fld="18"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179B77-598E-456A-A18C-A013476ABF8D}"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Modulo">
  <location ref="A3:C13" firstHeaderRow="0" firstDataRow="1" firstDataCol="1"/>
  <pivotFields count="28">
    <pivotField showAll="0"/>
    <pivotField axis="axisRow" showAll="0">
      <items count="10">
        <item x="0"/>
        <item x="1"/>
        <item x="2"/>
        <item x="4"/>
        <item x="5"/>
        <item x="6"/>
        <item x="7"/>
        <item x="8"/>
        <item x="3"/>
        <item t="default"/>
      </items>
    </pivotField>
    <pivotField showAll="0"/>
    <pivotField showAll="0"/>
    <pivotField showAll="0"/>
    <pivotField showAll="0"/>
    <pivotField multipleItemSelectionAllowed="1"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Exploración Max" fld="11" baseField="0" baseItem="0"/>
    <dataField name="Realización Max" fld="12" baseField="0" baseItem="0"/>
  </dataFields>
  <formats count="2">
    <format dxfId="6">
      <pivotArea collapsedLevelsAreSubtotals="1" fieldPosition="0">
        <references count="1">
          <reference field="1" count="0"/>
        </references>
      </pivotArea>
    </format>
    <format dxfId="5">
      <pivotArea grandRow="1"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DC1301-448B-4148-BEC5-725A94DBE773}"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H61" firstHeaderRow="0" firstDataRow="1" firstDataCol="2" rowPageCount="1" colPageCount="1"/>
  <pivotFields count="28">
    <pivotField axis="axisRow" compact="0"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axis="axisRow" compact="0" outline="0" showAll="0">
      <items count="10">
        <item x="0"/>
        <item x="1"/>
        <item x="2"/>
        <item x="4"/>
        <item x="5"/>
        <item x="6"/>
        <item x="7"/>
        <item x="8"/>
        <item x="3"/>
        <item t="default"/>
      </items>
    </pivotField>
    <pivotField compact="0" outline="0" showAll="0"/>
    <pivotField compact="0" outline="0" showAll="0"/>
    <pivotField compact="0" outline="0" showAll="0"/>
    <pivotField compact="0" outline="0" showAll="0"/>
    <pivotField axis="axisPage" compact="0" outline="0" multipleItemSelectionAllowed="1" showAll="0">
      <items count="5">
        <item x="0"/>
        <item x="1"/>
        <item x="3"/>
        <item h="1" x="2"/>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s>
  <rowFields count="2">
    <field x="1"/>
    <field x="0"/>
  </rowFields>
  <rowItems count="58">
    <i>
      <x/>
      <x/>
    </i>
    <i r="1">
      <x v="1"/>
    </i>
    <i r="1">
      <x v="2"/>
    </i>
    <i r="1">
      <x v="3"/>
    </i>
    <i r="1">
      <x v="4"/>
    </i>
    <i r="1">
      <x v="5"/>
    </i>
    <i r="1">
      <x v="6"/>
    </i>
    <i r="1">
      <x v="7"/>
    </i>
    <i t="default">
      <x/>
    </i>
    <i>
      <x v="2"/>
      <x v="14"/>
    </i>
    <i r="1">
      <x v="15"/>
    </i>
    <i r="1">
      <x v="16"/>
    </i>
    <i r="1">
      <x v="17"/>
    </i>
    <i r="1">
      <x v="18"/>
    </i>
    <i r="1">
      <x v="19"/>
    </i>
    <i r="1">
      <x v="20"/>
    </i>
    <i r="1">
      <x v="21"/>
    </i>
    <i r="1">
      <x v="22"/>
    </i>
    <i r="1">
      <x v="23"/>
    </i>
    <i r="1">
      <x v="24"/>
    </i>
    <i r="1">
      <x v="25"/>
    </i>
    <i t="default">
      <x v="2"/>
    </i>
    <i>
      <x v="3"/>
      <x v="27"/>
    </i>
    <i r="1">
      <x v="28"/>
    </i>
    <i r="1">
      <x v="29"/>
    </i>
    <i r="1">
      <x v="31"/>
    </i>
    <i r="1">
      <x v="32"/>
    </i>
    <i r="1">
      <x v="33"/>
    </i>
    <i r="1">
      <x v="36"/>
    </i>
    <i r="1">
      <x v="37"/>
    </i>
    <i r="1">
      <x v="38"/>
    </i>
    <i t="default">
      <x v="3"/>
    </i>
    <i>
      <x v="5"/>
      <x v="44"/>
    </i>
    <i r="1">
      <x v="45"/>
    </i>
    <i r="1">
      <x v="47"/>
    </i>
    <i r="1">
      <x v="51"/>
    </i>
    <i r="1">
      <x v="52"/>
    </i>
    <i r="1">
      <x v="53"/>
    </i>
    <i r="1">
      <x v="54"/>
    </i>
    <i r="1">
      <x v="55"/>
    </i>
    <i t="default">
      <x v="5"/>
    </i>
    <i>
      <x v="6"/>
      <x v="60"/>
    </i>
    <i r="1">
      <x v="61"/>
    </i>
    <i r="1">
      <x v="62"/>
    </i>
    <i r="1">
      <x v="63"/>
    </i>
    <i r="1">
      <x v="64"/>
    </i>
    <i r="1">
      <x v="65"/>
    </i>
    <i t="default">
      <x v="6"/>
    </i>
    <i>
      <x v="8"/>
      <x v="74"/>
    </i>
    <i r="1">
      <x v="75"/>
    </i>
    <i r="1">
      <x v="76"/>
    </i>
    <i r="1">
      <x v="77"/>
    </i>
    <i r="1">
      <x v="81"/>
    </i>
    <i r="1">
      <x v="82"/>
    </i>
    <i r="1">
      <x v="84"/>
    </i>
    <i r="1">
      <x v="87"/>
    </i>
    <i t="default">
      <x v="8"/>
    </i>
    <i t="grand">
      <x/>
    </i>
  </rowItems>
  <colFields count="1">
    <field x="-2"/>
  </colFields>
  <colItems count="6">
    <i>
      <x/>
    </i>
    <i i="1">
      <x v="1"/>
    </i>
    <i i="2">
      <x v="2"/>
    </i>
    <i i="3">
      <x v="3"/>
    </i>
    <i i="4">
      <x v="4"/>
    </i>
    <i i="5">
      <x v="5"/>
    </i>
  </colItems>
  <pageFields count="1">
    <pageField fld="6" hier="-1"/>
  </pageFields>
  <dataFields count="6">
    <dataField name="Suma de Explore MIN" fld="17" baseField="0" baseItem="0"/>
    <dataField name="Suma de Realize MIN" fld="18" baseField="0" baseItem="0"/>
    <dataField name="Suma de Explore PROM" fld="23" baseField="0" baseItem="0"/>
    <dataField name="Suma de Realize PROM" fld="24" baseField="0" baseItem="0"/>
    <dataField name="Suma de Explore" fld="11" baseField="0" baseItem="0"/>
    <dataField name="Suma de Realize" fld="1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9593F6-6243-43AD-AD47-152729DE82F9}" name="Tabla1" displayName="Tabla1" ref="A1:Y89" totalsRowShown="0" headerRowDxfId="33" dataDxfId="32">
  <autoFilter ref="A1:Y89" xr:uid="{759593F6-6243-43AD-AD47-152729DE82F9}"/>
  <sortState xmlns:xlrd2="http://schemas.microsoft.com/office/spreadsheetml/2017/richdata2" ref="A2:Y89">
    <sortCondition ref="C1:C89"/>
  </sortState>
  <tableColumns count="25">
    <tableColumn id="1" xr3:uid="{E2050E10-B06C-4FDB-B170-EDB2D65F31DC}" name="Línea de negocio" dataDxfId="31"/>
    <tableColumn id="12" xr3:uid="{7B437F5D-05B8-41D7-849F-E405A904F18B}" name="Área de negocio" dataDxfId="30"/>
    <tableColumn id="2" xr3:uid="{4BD29056-6FEE-487A-8054-ED0E741D481D}" name="Proceso de negocio" dataDxfId="29"/>
    <tableColumn id="5" xr3:uid="{4EBB48F1-3DE1-437C-B34B-DBE17E48DBA2}" name="SAP S/4HANA BP" dataDxfId="28"/>
    <tableColumn id="15" xr3:uid="{90C288A4-5E45-47D4-AFD4-93A1E898F0F8}" name="Actividades" dataDxfId="27"/>
    <tableColumn id="14" xr3:uid="{318839E1-302A-4F50-A7F8-1414522AD965}" name="Descripción" dataDxfId="26"/>
    <tableColumn id="9" xr3:uid="{7A92367B-BA8D-43A0-933E-88C3C5765DE0}" name="Variantes" dataDxfId="25"/>
    <tableColumn id="13" xr3:uid="{2462C7FD-9DC1-4A2A-B767-D69E947C854E}" name="Exclusiones" dataDxfId="24"/>
    <tableColumn id="21" xr3:uid="{382FE4B4-09B1-4260-BCD9-355B57BFFB91}" name="Mód." dataDxfId="23"/>
    <tableColumn id="18" xr3:uid="{5EA1BDBA-4762-4FAB-98C4-7078C4294503}" name="BC_SET_S0" dataDxfId="22"/>
    <tableColumn id="19" xr3:uid="{B9F1B527-7E14-4DAF-80F2-49C000DBA309}" name="BC_SET_S0 - Prerequisito" dataDxfId="21"/>
    <tableColumn id="4" xr3:uid="{6E5799F8-1224-4ECD-825C-1BA5137353AF}" name="Observaciones" dataDxfId="20"/>
    <tableColumn id="17" xr3:uid="{4EE96D08-4E83-4A30-96A8-100A698B0DD4}" name="Fase" dataDxfId="19"/>
    <tableColumn id="8" xr3:uid="{0BEA895F-7F9C-4835-8936-C33EEE606F14}" name="Anexo BPD" dataDxfId="18"/>
    <tableColumn id="6" xr3:uid="{64218962-C559-40BC-A6CD-B0954A66AD58}" name="Estructuras de carga masiva" dataDxfId="17"/>
    <tableColumn id="10" xr3:uid="{43669300-6A7A-40C5-B265-9EFAA6EBE9FF}" name="Estado" dataDxfId="16"/>
    <tableColumn id="11" xr3:uid="{7128D4CE-8326-472B-BCB7-0A374436DBA8}" name="TA" dataDxfId="15"/>
    <tableColumn id="3" xr3:uid="{058161C7-9974-44B2-BD58-429813317B3A}" name="Complejidad" dataDxfId="14"/>
    <tableColumn id="7" xr3:uid="{0E79BD24-CF7D-4533-B375-EF5F76599D01}" name="TP" dataDxfId="13"/>
    <tableColumn id="16" xr3:uid="{EE1185FA-E3DA-440F-B970-44200E0EBFC7}" name="Discovery" dataDxfId="12">
      <calculatedColumnFormula>+VLOOKUP(S2,Atributos!$P$2:$W$5,3)*R2</calculatedColumnFormula>
    </tableColumn>
    <tableColumn id="20" xr3:uid="{093B6703-B5CA-48C3-868C-56F5BA7C077A}" name="Prepare" dataDxfId="11">
      <calculatedColumnFormula>+VLOOKUP(S2,Atributos!$P$2:$W$5,4)*R2</calculatedColumnFormula>
    </tableColumn>
    <tableColumn id="22" xr3:uid="{00C0D45F-739D-4DE6-9E8C-2CB8523EB8D0}" name="Explore" dataDxfId="10">
      <calculatedColumnFormula>+VLOOKUP(S2,Atributos!$P$2:$W$5,5)*R2</calculatedColumnFormula>
    </tableColumn>
    <tableColumn id="23" xr3:uid="{A56BFB73-B453-4F9C-AF16-347935D6E6D2}" name="Realize" dataDxfId="9">
      <calculatedColumnFormula>+VLOOKUP(S2,Atributos!$P$2:$W$5,6)*R2</calculatedColumnFormula>
    </tableColumn>
    <tableColumn id="24" xr3:uid="{6863905D-0031-4A97-908E-A8F9E6ED15DD}" name="Deploy" dataDxfId="8">
      <calculatedColumnFormula>+VLOOKUP(S2,Atributos!$P$2:$W$5,7)*R2</calculatedColumnFormula>
    </tableColumn>
    <tableColumn id="25" xr3:uid="{CE38904C-4AD9-4387-AC4B-482CC9D32841}" name="Run" dataDxfId="7">
      <calculatedColumnFormula>+VLOOKUP(S2,Atributos!$P$2:$W$5,8)*R2</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1" dT="2023-02-06T19:48:58.66" personId="{62D0275A-884B-4CEC-BE99-86EF22CE6125}" id="{8DBCAA0B-00E3-4D88-A525-C9B8EC1AE4A6}">
    <text>Revisar documentos para determinar el grado e avance.
Si está completo colocar 90% que significa que está listo para aprobación.</text>
  </threadedComment>
</ThreadedComment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3" Type="http://schemas.openxmlformats.org/officeDocument/2006/relationships/hyperlink" Target="https://me.sap.com/processnavigator/SolS/EARL_SolS-013/2408/SolP/J60?region=PE" TargetMode="External"/><Relationship Id="rId18" Type="http://schemas.openxmlformats.org/officeDocument/2006/relationships/hyperlink" Target="https://me.sap.com/processnavigator/SolS/EARL_SolS-013/2408/SolP/J45?region=PE" TargetMode="External"/><Relationship Id="rId26" Type="http://schemas.openxmlformats.org/officeDocument/2006/relationships/hyperlink" Target="https://me.sap.com/processnavigator/SolS/EARL_SolS-013/2408/SolP/BNA?region=PE" TargetMode="External"/><Relationship Id="rId39" Type="http://schemas.openxmlformats.org/officeDocument/2006/relationships/hyperlink" Target="https://me.sap.com/processnavigator/SolS/EARL_SolS-013/2408/SolP/1EZ?region=PE" TargetMode="External"/><Relationship Id="rId21" Type="http://schemas.openxmlformats.org/officeDocument/2006/relationships/hyperlink" Target="https://me.sap.com/processnavigator/SolS/EARL_SolS-013/2408/SolP/BMD?region=PE" TargetMode="External"/><Relationship Id="rId34" Type="http://schemas.openxmlformats.org/officeDocument/2006/relationships/hyperlink" Target="https://me.sap.com/processnavigator/SolS/EARL_SolS-013/2408/SolP/BD9?region=PE" TargetMode="External"/><Relationship Id="rId42" Type="http://schemas.openxmlformats.org/officeDocument/2006/relationships/printerSettings" Target="../printerSettings/printerSettings2.bin"/><Relationship Id="rId7" Type="http://schemas.openxmlformats.org/officeDocument/2006/relationships/hyperlink" Target="https://me.sap.com/processnavigator/SolS/EARL_SolS-013/2408/SolP/J58?region=PE" TargetMode="External"/><Relationship Id="rId2" Type="http://schemas.openxmlformats.org/officeDocument/2006/relationships/hyperlink" Target="https://me.sap.com/processnavigator/SolS/EARL_SolS-013/2408/SolP/1HB?region=PE" TargetMode="External"/><Relationship Id="rId16" Type="http://schemas.openxmlformats.org/officeDocument/2006/relationships/hyperlink" Target="https://me.sap.com/processnavigator/SolS/EARL_SolS-013/2408/SolP/J58?region=PE" TargetMode="External"/><Relationship Id="rId20" Type="http://schemas.openxmlformats.org/officeDocument/2006/relationships/hyperlink" Target="https://me.sap.com/processnavigator/SolS/EARL_SolS-013/2408/SolP/BNX?region=PE" TargetMode="External"/><Relationship Id="rId29" Type="http://schemas.openxmlformats.org/officeDocument/2006/relationships/hyperlink" Target="https://me.sap.com/processnavigator/SolS/EARL_SolS-013/2408/SolP/4I9?region=PE" TargetMode="External"/><Relationship Id="rId41" Type="http://schemas.openxmlformats.org/officeDocument/2006/relationships/hyperlink" Target="https://me.sap.com/processnavigator/SolS/EARL_SolS-013/2408/SolP/BDG?region=PE" TargetMode="External"/><Relationship Id="rId1" Type="http://schemas.openxmlformats.org/officeDocument/2006/relationships/hyperlink" Target="https://me.sap.com/processnavigator/SolS/EARL_SolS-013/2408/SolP/J58?region=PE" TargetMode="External"/><Relationship Id="rId6" Type="http://schemas.openxmlformats.org/officeDocument/2006/relationships/hyperlink" Target="https://me.sap.com/processnavigator/SolS/EARL_SolS-013/2408/SolP/J54?region=PE" TargetMode="External"/><Relationship Id="rId11" Type="http://schemas.openxmlformats.org/officeDocument/2006/relationships/hyperlink" Target="https://me.sap.com/processnavigator/SolS/EARL_SolS-013/2408/SolP/J60?region=PE" TargetMode="External"/><Relationship Id="rId24" Type="http://schemas.openxmlformats.org/officeDocument/2006/relationships/hyperlink" Target="https://me.sap.com/processnavigator/SolS/EARL_SolS-013/2408/SolP/1E1?region=PE" TargetMode="External"/><Relationship Id="rId32" Type="http://schemas.openxmlformats.org/officeDocument/2006/relationships/hyperlink" Target="https://me.sap.com/processnavigator/SolS/EARL_SolS-013/2408/SolP/BJE?region=PE" TargetMode="External"/><Relationship Id="rId37" Type="http://schemas.openxmlformats.org/officeDocument/2006/relationships/hyperlink" Target="https://me.sap.com/processnavigator/SolS/EARL_SolS-013/2408/SolP/1HO?region=PE" TargetMode="External"/><Relationship Id="rId40" Type="http://schemas.openxmlformats.org/officeDocument/2006/relationships/hyperlink" Target="https://me.sap.com/processnavigator/SolS/EARL_SolS-013/2408/SolP/1WO?region=PE" TargetMode="External"/><Relationship Id="rId5" Type="http://schemas.openxmlformats.org/officeDocument/2006/relationships/hyperlink" Target="https://me.sap.com/processnavigator/SolS/EARL_SolS-013/2408/SolP/4RC?region=PE" TargetMode="External"/><Relationship Id="rId15" Type="http://schemas.openxmlformats.org/officeDocument/2006/relationships/hyperlink" Target="https://me.sap.com/processnavigator/SolS/EARL_SolS-013/2408/SolP/J62?region=PE" TargetMode="External"/><Relationship Id="rId23" Type="http://schemas.openxmlformats.org/officeDocument/2006/relationships/hyperlink" Target="https://me.sap.com/processnavigator/SolS/EARL_SolS-013/2408/SolP/4HI?region=PE" TargetMode="External"/><Relationship Id="rId28" Type="http://schemas.openxmlformats.org/officeDocument/2006/relationships/hyperlink" Target="https://me.sap.com/processnavigator/SolS/EARL_SolS-013/2408/SolP/BNA?region=PE" TargetMode="External"/><Relationship Id="rId36" Type="http://schemas.openxmlformats.org/officeDocument/2006/relationships/hyperlink" Target="https://me.sap.com/processnavigator/SolS/EARL_SolS-013/2408/SolP/BDA?region=PE" TargetMode="External"/><Relationship Id="rId10" Type="http://schemas.openxmlformats.org/officeDocument/2006/relationships/hyperlink" Target="https://me.sap.com/processnavigator/SolS/EARL_SolS-013/2408/SolP/J58?region=PE" TargetMode="External"/><Relationship Id="rId19" Type="http://schemas.openxmlformats.org/officeDocument/2006/relationships/hyperlink" Target="https://me.sap.com/processnavigator/SolS/EARL_SolS-013/2408/SolP/22Z?region=PE" TargetMode="External"/><Relationship Id="rId31" Type="http://schemas.openxmlformats.org/officeDocument/2006/relationships/hyperlink" Target="https://me.sap.com/processnavigator/SolS/EARL_SolS-013/2408/SolP/3OK?region=PE" TargetMode="External"/><Relationship Id="rId4" Type="http://schemas.openxmlformats.org/officeDocument/2006/relationships/hyperlink" Target="https://me.sap.com/processnavigator/SolS/EARL_SolS-013/2408/SolP/J55?region=PE" TargetMode="External"/><Relationship Id="rId9" Type="http://schemas.openxmlformats.org/officeDocument/2006/relationships/hyperlink" Target="https://me.sap.com/processnavigator/SolS/EARL_SolS-013/2408/SolP/BFA?region=PE" TargetMode="External"/><Relationship Id="rId14" Type="http://schemas.openxmlformats.org/officeDocument/2006/relationships/hyperlink" Target="https://me.sap.com/processnavigator/SolS/EARL_SolS-013/2408/SolP/J59?region=PE" TargetMode="External"/><Relationship Id="rId22" Type="http://schemas.openxmlformats.org/officeDocument/2006/relationships/hyperlink" Target="https://me.sap.com/processnavigator/SolS/EARL_SolS-013/2408/SolP/4HH?region=PE" TargetMode="External"/><Relationship Id="rId27" Type="http://schemas.openxmlformats.org/officeDocument/2006/relationships/hyperlink" Target="https://me.sap.com/processnavigator/SolS/EARL_SolS-013/2408/SolP/1NT?region=PE" TargetMode="External"/><Relationship Id="rId30" Type="http://schemas.openxmlformats.org/officeDocument/2006/relationships/hyperlink" Target="https://me.sap.com/processnavigator/SolS/EARL_SolS-013/2408/SolP/1NT?region=PE" TargetMode="External"/><Relationship Id="rId35" Type="http://schemas.openxmlformats.org/officeDocument/2006/relationships/hyperlink" Target="https://me.sap.com/processnavigator/SolS/EARL_SolS-013/2408/SolP/2EQ?region=PE" TargetMode="External"/><Relationship Id="rId8" Type="http://schemas.openxmlformats.org/officeDocument/2006/relationships/hyperlink" Target="https://me.sap.com/processnavigator/SolS/EARL_SolS-013/2408/SolP/J62?region=PE" TargetMode="External"/><Relationship Id="rId3" Type="http://schemas.openxmlformats.org/officeDocument/2006/relationships/hyperlink" Target="https://me.sap.com/processnavigator/SolS/EARL_SolS-013/2408/SolP/J54?region=PE" TargetMode="External"/><Relationship Id="rId12" Type="http://schemas.openxmlformats.org/officeDocument/2006/relationships/hyperlink" Target="https://me.sap.com/processnavigator/SolS/EARL_SolS-013/2408/SolP/J60?region=PE" TargetMode="External"/><Relationship Id="rId17" Type="http://schemas.openxmlformats.org/officeDocument/2006/relationships/hyperlink" Target="https://me.sap.com/processnavigator/SolS/EARL_SolS-013/2408/SolP/BD6?region=PE" TargetMode="External"/><Relationship Id="rId25" Type="http://schemas.openxmlformats.org/officeDocument/2006/relationships/hyperlink" Target="https://me.sap.com/processnavigator/SolS/EARL_SolS-013/2408/SolP/1FM?region=PE" TargetMode="External"/><Relationship Id="rId33" Type="http://schemas.openxmlformats.org/officeDocument/2006/relationships/hyperlink" Target="https://me.sap.com/processnavigator/SolS/EARL_SolS-013/2408/SolP/J44?region=PE" TargetMode="External"/><Relationship Id="rId38" Type="http://schemas.openxmlformats.org/officeDocument/2006/relationships/hyperlink" Target="https://me.sap.com/processnavigator/SolS/EARL_SolS-013/2408/SolP/I9I?region=PE" TargetMode="Externa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55B6-CE07-4F12-B782-EF0343873668}">
  <dimension ref="A1:N28"/>
  <sheetViews>
    <sheetView workbookViewId="0">
      <selection sqref="A1:M5"/>
    </sheetView>
  </sheetViews>
  <sheetFormatPr baseColWidth="10" defaultColWidth="9.140625" defaultRowHeight="15" x14ac:dyDescent="0.25"/>
  <sheetData>
    <row r="1" spans="1:14" ht="18.75" x14ac:dyDescent="0.3">
      <c r="A1" s="128" t="s">
        <v>0</v>
      </c>
      <c r="B1" s="129"/>
      <c r="C1" s="129"/>
      <c r="D1" s="129"/>
      <c r="E1" s="129"/>
      <c r="F1" s="129"/>
      <c r="G1" s="129"/>
      <c r="H1" s="129"/>
      <c r="I1" s="129"/>
      <c r="J1" s="129"/>
      <c r="K1" s="129"/>
      <c r="L1" s="129"/>
      <c r="M1" s="130"/>
    </row>
    <row r="2" spans="1:14" x14ac:dyDescent="0.25">
      <c r="A2" s="32" t="s">
        <v>1</v>
      </c>
      <c r="B2" s="33"/>
      <c r="C2" s="33"/>
      <c r="D2" s="33"/>
      <c r="E2" s="33"/>
      <c r="F2" s="33"/>
      <c r="G2" s="33"/>
      <c r="H2" s="33"/>
      <c r="I2" s="33"/>
      <c r="J2" s="33"/>
      <c r="K2" s="33"/>
      <c r="L2" s="33"/>
      <c r="M2" s="34"/>
    </row>
    <row r="3" spans="1:14" x14ac:dyDescent="0.25">
      <c r="A3" s="32" t="s">
        <v>2</v>
      </c>
      <c r="B3" s="33"/>
      <c r="C3" s="33"/>
      <c r="D3" s="33"/>
      <c r="E3" s="33"/>
      <c r="F3" s="33"/>
      <c r="G3" s="33"/>
      <c r="H3" s="33"/>
      <c r="I3" s="33"/>
      <c r="J3" s="33"/>
      <c r="K3" s="33"/>
      <c r="L3" s="33"/>
      <c r="M3" s="34"/>
    </row>
    <row r="4" spans="1:14" x14ac:dyDescent="0.25">
      <c r="A4" s="32" t="s">
        <v>3</v>
      </c>
      <c r="B4" s="33"/>
      <c r="C4" s="33"/>
      <c r="D4" s="33"/>
      <c r="E4" s="33"/>
      <c r="F4" s="33"/>
      <c r="G4" s="33"/>
      <c r="H4" s="33"/>
      <c r="I4" s="33"/>
      <c r="J4" s="33"/>
      <c r="K4" s="33"/>
      <c r="L4" s="33"/>
      <c r="M4" s="34"/>
    </row>
    <row r="5" spans="1:14" ht="66" customHeight="1" x14ac:dyDescent="0.25">
      <c r="A5" s="139" t="s">
        <v>4</v>
      </c>
      <c r="B5" s="140"/>
      <c r="C5" s="140"/>
      <c r="D5" s="140"/>
      <c r="E5" s="140"/>
      <c r="F5" s="140"/>
      <c r="G5" s="140"/>
      <c r="H5" s="140"/>
      <c r="I5" s="140"/>
      <c r="J5" s="140"/>
      <c r="K5" s="140"/>
      <c r="L5" s="140"/>
      <c r="M5" s="141"/>
    </row>
    <row r="6" spans="1:14" ht="46.5" customHeight="1" x14ac:dyDescent="0.25">
      <c r="A6" s="131" t="s">
        <v>5</v>
      </c>
      <c r="B6" s="132"/>
      <c r="C6" s="132"/>
      <c r="D6" s="132"/>
      <c r="E6" s="132"/>
      <c r="F6" s="132"/>
      <c r="G6" s="132"/>
      <c r="H6" s="132"/>
      <c r="I6" s="132"/>
      <c r="J6" s="132"/>
      <c r="K6" s="132"/>
      <c r="L6" s="132"/>
      <c r="M6" s="133"/>
    </row>
    <row r="7" spans="1:14" ht="85.5" customHeight="1" x14ac:dyDescent="0.25">
      <c r="A7" s="131" t="s">
        <v>6</v>
      </c>
      <c r="B7" s="134"/>
      <c r="C7" s="134"/>
      <c r="D7" s="134"/>
      <c r="E7" s="134"/>
      <c r="F7" s="134"/>
      <c r="G7" s="134"/>
      <c r="H7" s="134"/>
      <c r="I7" s="134"/>
      <c r="J7" s="134"/>
      <c r="K7" s="134"/>
      <c r="L7" s="134"/>
      <c r="M7" s="135"/>
    </row>
    <row r="8" spans="1:14" ht="129.75" customHeight="1" x14ac:dyDescent="0.25">
      <c r="A8" s="131" t="s">
        <v>7</v>
      </c>
      <c r="B8" s="134"/>
      <c r="C8" s="134"/>
      <c r="D8" s="134"/>
      <c r="E8" s="134"/>
      <c r="F8" s="134"/>
      <c r="G8" s="134"/>
      <c r="H8" s="134"/>
      <c r="I8" s="134"/>
      <c r="J8" s="134"/>
      <c r="K8" s="134"/>
      <c r="L8" s="134"/>
      <c r="M8" s="135"/>
    </row>
    <row r="9" spans="1:14" ht="258.75" customHeight="1" x14ac:dyDescent="0.25">
      <c r="A9" s="131" t="s">
        <v>8</v>
      </c>
      <c r="B9" s="132"/>
      <c r="C9" s="132"/>
      <c r="D9" s="132"/>
      <c r="E9" s="132"/>
      <c r="F9" s="132"/>
      <c r="G9" s="132"/>
      <c r="H9" s="132"/>
      <c r="I9" s="132"/>
      <c r="J9" s="132"/>
      <c r="K9" s="132"/>
      <c r="L9" s="132"/>
      <c r="M9" s="133"/>
      <c r="N9" s="30"/>
    </row>
    <row r="10" spans="1:14" ht="93" customHeight="1" x14ac:dyDescent="0.25">
      <c r="A10" s="131" t="s">
        <v>9</v>
      </c>
      <c r="B10" s="132"/>
      <c r="C10" s="132"/>
      <c r="D10" s="132"/>
      <c r="E10" s="132"/>
      <c r="F10" s="132"/>
      <c r="G10" s="132"/>
      <c r="H10" s="132"/>
      <c r="I10" s="132"/>
      <c r="J10" s="132"/>
      <c r="K10" s="132"/>
      <c r="L10" s="132"/>
      <c r="M10" s="133"/>
      <c r="N10" s="30"/>
    </row>
    <row r="11" spans="1:14" ht="19.5" customHeight="1" x14ac:dyDescent="0.25">
      <c r="A11" s="125" t="s">
        <v>10</v>
      </c>
      <c r="B11" s="126"/>
      <c r="C11" s="126"/>
      <c r="D11" s="126"/>
      <c r="E11" s="126"/>
      <c r="F11" s="126"/>
      <c r="G11" s="126"/>
      <c r="H11" s="126"/>
      <c r="I11" s="126"/>
      <c r="J11" s="126"/>
      <c r="K11" s="126"/>
      <c r="L11" s="126"/>
      <c r="M11" s="127"/>
    </row>
    <row r="12" spans="1:14" ht="18.75" customHeight="1" x14ac:dyDescent="0.25">
      <c r="A12" s="136" t="s">
        <v>11</v>
      </c>
      <c r="B12" s="137"/>
      <c r="C12" s="137"/>
      <c r="D12" s="137"/>
      <c r="E12" s="137"/>
      <c r="F12" s="137"/>
      <c r="G12" s="137"/>
      <c r="H12" s="137"/>
      <c r="I12" s="137"/>
      <c r="J12" s="137"/>
      <c r="K12" s="137"/>
      <c r="L12" s="137"/>
      <c r="M12" s="138"/>
      <c r="N12" s="30"/>
    </row>
    <row r="13" spans="1:14" ht="33" customHeight="1" x14ac:dyDescent="0.25">
      <c r="A13" s="119" t="s">
        <v>12</v>
      </c>
      <c r="B13" s="120"/>
      <c r="C13" s="120"/>
      <c r="D13" s="120"/>
      <c r="E13" s="120"/>
      <c r="F13" s="120"/>
      <c r="G13" s="120"/>
      <c r="H13" s="120"/>
      <c r="I13" s="120"/>
      <c r="J13" s="120"/>
      <c r="K13" s="120"/>
      <c r="L13" s="120"/>
      <c r="M13" s="121"/>
      <c r="N13" s="30"/>
    </row>
    <row r="14" spans="1:14" ht="45.75" customHeight="1" x14ac:dyDescent="0.25">
      <c r="A14" s="119" t="s">
        <v>13</v>
      </c>
      <c r="B14" s="120"/>
      <c r="C14" s="120"/>
      <c r="D14" s="120"/>
      <c r="E14" s="120"/>
      <c r="F14" s="120"/>
      <c r="G14" s="120"/>
      <c r="H14" s="120"/>
      <c r="I14" s="120"/>
      <c r="J14" s="120"/>
      <c r="K14" s="120"/>
      <c r="L14" s="120"/>
      <c r="M14" s="121"/>
      <c r="N14" s="30"/>
    </row>
    <row r="15" spans="1:14" ht="36" customHeight="1" x14ac:dyDescent="0.25">
      <c r="A15" s="119" t="s">
        <v>14</v>
      </c>
      <c r="B15" s="120"/>
      <c r="C15" s="120"/>
      <c r="D15" s="120"/>
      <c r="E15" s="120"/>
      <c r="F15" s="120"/>
      <c r="G15" s="120"/>
      <c r="H15" s="120"/>
      <c r="I15" s="120"/>
      <c r="J15" s="120"/>
      <c r="K15" s="120"/>
      <c r="L15" s="120"/>
      <c r="M15" s="121"/>
      <c r="N15" s="30"/>
    </row>
    <row r="16" spans="1:14" x14ac:dyDescent="0.25">
      <c r="A16" s="122" t="s">
        <v>15</v>
      </c>
      <c r="B16" s="123"/>
      <c r="C16" s="123"/>
      <c r="D16" s="123"/>
      <c r="E16" s="123"/>
      <c r="F16" s="123"/>
      <c r="G16" s="123"/>
      <c r="H16" s="123"/>
      <c r="I16" s="123"/>
      <c r="J16" s="123"/>
      <c r="K16" s="123"/>
      <c r="L16" s="123"/>
      <c r="M16" s="124"/>
      <c r="N16" s="31"/>
    </row>
    <row r="17" spans="1:13" x14ac:dyDescent="0.25">
      <c r="A17" s="142" t="s">
        <v>16</v>
      </c>
      <c r="B17" s="143"/>
      <c r="C17" s="143"/>
      <c r="D17" s="143"/>
      <c r="E17" s="143"/>
      <c r="F17" s="143"/>
      <c r="G17" s="143"/>
      <c r="H17" s="143"/>
      <c r="I17" s="143"/>
      <c r="J17" s="143"/>
      <c r="K17" s="143"/>
      <c r="L17" s="143"/>
      <c r="M17" s="144"/>
    </row>
    <row r="18" spans="1:13" x14ac:dyDescent="0.25">
      <c r="A18" s="32" t="s">
        <v>17</v>
      </c>
      <c r="B18" s="33"/>
      <c r="C18" s="33"/>
      <c r="D18" s="33"/>
      <c r="E18" s="33"/>
      <c r="F18" s="33"/>
      <c r="G18" s="33"/>
      <c r="H18" s="33"/>
      <c r="I18" s="33"/>
      <c r="J18" s="33"/>
      <c r="K18" s="33"/>
      <c r="L18" s="33"/>
      <c r="M18" s="34"/>
    </row>
    <row r="19" spans="1:13" x14ac:dyDescent="0.25">
      <c r="A19" s="145" t="s">
        <v>18</v>
      </c>
      <c r="B19" s="146"/>
      <c r="C19" s="146"/>
      <c r="D19" s="146"/>
      <c r="E19" s="146"/>
      <c r="F19" s="146"/>
      <c r="G19" s="146"/>
      <c r="H19" s="146"/>
      <c r="I19" s="146"/>
      <c r="J19" s="146"/>
      <c r="K19" s="146"/>
      <c r="L19" s="146"/>
      <c r="M19" s="147"/>
    </row>
    <row r="20" spans="1:13" x14ac:dyDescent="0.25">
      <c r="A20" s="148" t="s">
        <v>19</v>
      </c>
      <c r="B20" s="149"/>
      <c r="C20" s="149"/>
      <c r="D20" s="149"/>
      <c r="E20" s="149"/>
      <c r="F20" s="149"/>
      <c r="G20" s="149"/>
      <c r="H20" s="149"/>
      <c r="I20" s="149"/>
      <c r="J20" s="149"/>
      <c r="K20" s="149"/>
      <c r="L20" s="149"/>
      <c r="M20" s="150"/>
    </row>
    <row r="21" spans="1:13" ht="31.5" customHeight="1" x14ac:dyDescent="0.25">
      <c r="A21" s="151" t="s">
        <v>20</v>
      </c>
      <c r="B21" s="152"/>
      <c r="C21" s="152"/>
      <c r="D21" s="152"/>
      <c r="E21" s="152"/>
      <c r="F21" s="152"/>
      <c r="G21" s="152"/>
      <c r="H21" s="152"/>
      <c r="I21" s="152"/>
      <c r="J21" s="152"/>
      <c r="K21" s="152"/>
      <c r="L21" s="152"/>
      <c r="M21" s="153"/>
    </row>
    <row r="22" spans="1:13" x14ac:dyDescent="0.25">
      <c r="A22" s="154" t="s">
        <v>21</v>
      </c>
      <c r="B22" s="155"/>
      <c r="C22" s="155"/>
      <c r="D22" s="155"/>
      <c r="E22" s="155"/>
      <c r="F22" s="155"/>
      <c r="G22" s="155"/>
      <c r="H22" s="155"/>
      <c r="I22" s="155"/>
      <c r="J22" s="155"/>
      <c r="K22" s="155"/>
      <c r="L22" s="155"/>
      <c r="M22" s="156"/>
    </row>
    <row r="23" spans="1:13" x14ac:dyDescent="0.25">
      <c r="A23" s="28"/>
      <c r="B23" s="28"/>
      <c r="C23" s="28"/>
      <c r="D23" s="28"/>
      <c r="E23" s="28"/>
      <c r="F23" s="28"/>
      <c r="G23" s="28"/>
      <c r="H23" s="28"/>
      <c r="I23" s="28"/>
      <c r="J23" s="28"/>
      <c r="K23" s="28"/>
      <c r="L23" s="28"/>
      <c r="M23" s="28"/>
    </row>
    <row r="24" spans="1:13" x14ac:dyDescent="0.25">
      <c r="A24" s="28"/>
      <c r="B24" s="28"/>
      <c r="C24" s="28"/>
      <c r="D24" s="28"/>
      <c r="E24" s="28"/>
      <c r="F24" s="28"/>
      <c r="G24" s="28"/>
      <c r="H24" s="28"/>
      <c r="I24" s="28"/>
      <c r="J24" s="28"/>
      <c r="K24" s="28"/>
      <c r="L24" s="28"/>
      <c r="M24" s="28"/>
    </row>
    <row r="25" spans="1:13" x14ac:dyDescent="0.25">
      <c r="A25" s="28"/>
      <c r="B25" s="28"/>
      <c r="C25" s="28"/>
      <c r="D25" s="28"/>
      <c r="E25" s="28"/>
      <c r="F25" s="28"/>
      <c r="G25" s="28"/>
      <c r="H25" s="28"/>
      <c r="I25" s="28"/>
      <c r="J25" s="28"/>
      <c r="K25" s="28"/>
      <c r="L25" s="28"/>
      <c r="M25" s="28"/>
    </row>
    <row r="26" spans="1:13" x14ac:dyDescent="0.25">
      <c r="A26" s="28"/>
      <c r="B26" s="28"/>
      <c r="C26" s="28"/>
      <c r="D26" s="28"/>
      <c r="E26" s="28"/>
      <c r="F26" s="28"/>
      <c r="G26" s="28"/>
      <c r="H26" s="28"/>
      <c r="I26" s="28"/>
      <c r="J26" s="28"/>
      <c r="K26" s="28"/>
      <c r="L26" s="28"/>
      <c r="M26" s="28"/>
    </row>
    <row r="27" spans="1:13" x14ac:dyDescent="0.25">
      <c r="A27" s="28"/>
      <c r="B27" s="28"/>
      <c r="C27" s="28"/>
      <c r="D27" s="28"/>
      <c r="E27" s="28"/>
      <c r="F27" s="28"/>
      <c r="G27" s="28"/>
      <c r="H27" s="28"/>
      <c r="I27" s="28"/>
      <c r="J27" s="28"/>
      <c r="K27" s="28"/>
      <c r="L27" s="28"/>
      <c r="M27" s="28"/>
    </row>
    <row r="28" spans="1:13" x14ac:dyDescent="0.25">
      <c r="A28" s="28"/>
      <c r="B28" s="28"/>
      <c r="C28" s="28"/>
      <c r="D28" s="28"/>
      <c r="E28" s="28"/>
      <c r="F28" s="28"/>
      <c r="G28" s="28"/>
      <c r="H28" s="28"/>
      <c r="I28" s="28"/>
      <c r="J28" s="28"/>
      <c r="K28" s="28"/>
      <c r="L28" s="28"/>
      <c r="M28" s="28"/>
    </row>
  </sheetData>
  <sheetProtection algorithmName="SHA-512" hashValue="/315Oxsv9aOayfL+BAmCtPi4fiuL6Yj8jBh+nSWPKCEMwQzP0zYkKHvnlKG6iYB34LYC700jLhEKjul05cv/cA==" saltValue="IrkyPxZfwDsAFLPZj6SMBw==" spinCount="100000" sheet="1" objects="1" scenarios="1"/>
  <mergeCells count="18">
    <mergeCell ref="A17:M17"/>
    <mergeCell ref="A19:M19"/>
    <mergeCell ref="A20:M20"/>
    <mergeCell ref="A21:M21"/>
    <mergeCell ref="A22:M22"/>
    <mergeCell ref="A15:M15"/>
    <mergeCell ref="A16:M16"/>
    <mergeCell ref="A11:M11"/>
    <mergeCell ref="A1:M1"/>
    <mergeCell ref="A6:M6"/>
    <mergeCell ref="A7:M7"/>
    <mergeCell ref="A8:M8"/>
    <mergeCell ref="A9:M9"/>
    <mergeCell ref="A10:M10"/>
    <mergeCell ref="A12:M12"/>
    <mergeCell ref="A13:M13"/>
    <mergeCell ref="A14:M14"/>
    <mergeCell ref="A5:M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C5F93-263B-4339-9516-4C94042DB623}">
  <dimension ref="A1:W66"/>
  <sheetViews>
    <sheetView topLeftCell="N2" workbookViewId="0">
      <selection activeCell="R4" sqref="R4:W4"/>
    </sheetView>
  </sheetViews>
  <sheetFormatPr baseColWidth="10" defaultColWidth="9.140625" defaultRowHeight="15" x14ac:dyDescent="0.25"/>
  <cols>
    <col min="1" max="1" width="27.7109375" customWidth="1"/>
    <col min="7" max="7" width="14.28515625" customWidth="1"/>
    <col min="8" max="8" width="13.28515625" customWidth="1"/>
    <col min="9" max="9" width="23.7109375" customWidth="1"/>
    <col min="10" max="10" width="13.140625" customWidth="1"/>
    <col min="13" max="13" width="13.28515625" bestFit="1" customWidth="1"/>
    <col min="17" max="17" width="56.28515625" customWidth="1"/>
  </cols>
  <sheetData>
    <row r="1" spans="1:23" x14ac:dyDescent="0.25">
      <c r="A1" s="157" t="s">
        <v>22</v>
      </c>
      <c r="B1" s="157"/>
      <c r="C1" s="157"/>
      <c r="D1" s="157"/>
      <c r="E1" s="157"/>
      <c r="F1" s="157"/>
      <c r="P1" t="s">
        <v>23</v>
      </c>
      <c r="Q1" t="s">
        <v>24</v>
      </c>
      <c r="R1" t="s">
        <v>25</v>
      </c>
      <c r="S1" t="s">
        <v>26</v>
      </c>
      <c r="T1" t="s">
        <v>27</v>
      </c>
      <c r="U1" t="s">
        <v>28</v>
      </c>
      <c r="V1" t="s">
        <v>29</v>
      </c>
      <c r="W1" t="s">
        <v>30</v>
      </c>
    </row>
    <row r="2" spans="1:23" ht="105" x14ac:dyDescent="0.25">
      <c r="A2" s="157"/>
      <c r="B2" s="157"/>
      <c r="C2" s="157"/>
      <c r="D2" s="157"/>
      <c r="E2" s="157"/>
      <c r="F2" s="157"/>
      <c r="P2" t="s">
        <v>31</v>
      </c>
      <c r="Q2" s="23" t="s">
        <v>32</v>
      </c>
      <c r="R2">
        <v>1</v>
      </c>
      <c r="S2">
        <v>1</v>
      </c>
      <c r="T2">
        <v>8</v>
      </c>
      <c r="U2">
        <v>8</v>
      </c>
      <c r="V2">
        <v>8</v>
      </c>
      <c r="W2">
        <v>0</v>
      </c>
    </row>
    <row r="3" spans="1:23" ht="60" x14ac:dyDescent="0.25">
      <c r="P3" t="s">
        <v>33</v>
      </c>
      <c r="Q3" s="23" t="s">
        <v>34</v>
      </c>
      <c r="R3">
        <v>1</v>
      </c>
      <c r="S3">
        <v>1</v>
      </c>
      <c r="T3">
        <v>4</v>
      </c>
      <c r="U3">
        <v>4</v>
      </c>
      <c r="V3">
        <v>0</v>
      </c>
      <c r="W3">
        <v>0</v>
      </c>
    </row>
    <row r="4" spans="1:23" ht="240" x14ac:dyDescent="0.25">
      <c r="A4" t="s">
        <v>35</v>
      </c>
      <c r="I4" t="s">
        <v>36</v>
      </c>
      <c r="J4" t="s">
        <v>37</v>
      </c>
      <c r="L4" t="s">
        <v>38</v>
      </c>
      <c r="M4" t="s">
        <v>39</v>
      </c>
      <c r="N4" t="s">
        <v>40</v>
      </c>
      <c r="P4" t="s">
        <v>41</v>
      </c>
      <c r="Q4" s="24" t="s">
        <v>42</v>
      </c>
      <c r="R4">
        <v>1</v>
      </c>
      <c r="S4">
        <v>2</v>
      </c>
      <c r="T4">
        <f>8+8</f>
        <v>16</v>
      </c>
      <c r="U4">
        <f>16+8+8</f>
        <v>32</v>
      </c>
      <c r="V4">
        <v>8</v>
      </c>
      <c r="W4">
        <v>8</v>
      </c>
    </row>
    <row r="5" spans="1:23" ht="75" x14ac:dyDescent="0.25">
      <c r="I5" t="s">
        <v>43</v>
      </c>
      <c r="J5" t="s">
        <v>44</v>
      </c>
      <c r="L5" t="s">
        <v>45</v>
      </c>
      <c r="M5" t="s">
        <v>46</v>
      </c>
      <c r="N5" t="s">
        <v>47</v>
      </c>
      <c r="P5" t="s">
        <v>48</v>
      </c>
      <c r="Q5" s="24" t="s">
        <v>49</v>
      </c>
      <c r="R5">
        <v>1</v>
      </c>
      <c r="S5">
        <v>2</v>
      </c>
      <c r="T5">
        <v>4</v>
      </c>
      <c r="U5">
        <f>8+8</f>
        <v>16</v>
      </c>
      <c r="V5">
        <v>0</v>
      </c>
      <c r="W5">
        <v>8</v>
      </c>
    </row>
    <row r="6" spans="1:23" x14ac:dyDescent="0.25">
      <c r="A6" t="s">
        <v>50</v>
      </c>
      <c r="I6" t="s">
        <v>51</v>
      </c>
      <c r="J6" t="s">
        <v>52</v>
      </c>
      <c r="L6" t="s">
        <v>53</v>
      </c>
      <c r="M6" t="s">
        <v>54</v>
      </c>
      <c r="N6" t="s">
        <v>55</v>
      </c>
    </row>
    <row r="7" spans="1:23" x14ac:dyDescent="0.25">
      <c r="A7" t="s">
        <v>56</v>
      </c>
      <c r="I7" t="s">
        <v>57</v>
      </c>
      <c r="J7" t="s">
        <v>58</v>
      </c>
      <c r="L7" t="s">
        <v>59</v>
      </c>
      <c r="M7" t="s">
        <v>60</v>
      </c>
    </row>
    <row r="8" spans="1:23" x14ac:dyDescent="0.25">
      <c r="I8" t="s">
        <v>61</v>
      </c>
      <c r="L8" t="s">
        <v>62</v>
      </c>
      <c r="M8" t="s">
        <v>63</v>
      </c>
    </row>
    <row r="9" spans="1:23" x14ac:dyDescent="0.25">
      <c r="I9" t="s">
        <v>64</v>
      </c>
      <c r="J9" t="s">
        <v>65</v>
      </c>
      <c r="L9" t="s">
        <v>66</v>
      </c>
      <c r="M9" t="s">
        <v>67</v>
      </c>
    </row>
    <row r="10" spans="1:23" x14ac:dyDescent="0.25">
      <c r="I10" t="s">
        <v>68</v>
      </c>
      <c r="L10" t="s">
        <v>69</v>
      </c>
      <c r="M10" t="s">
        <v>70</v>
      </c>
    </row>
    <row r="11" spans="1:23" x14ac:dyDescent="0.25">
      <c r="L11" t="s">
        <v>71</v>
      </c>
    </row>
    <row r="12" spans="1:23" x14ac:dyDescent="0.25">
      <c r="A12" t="s">
        <v>72</v>
      </c>
      <c r="L12" t="s">
        <v>73</v>
      </c>
    </row>
    <row r="13" spans="1:23" x14ac:dyDescent="0.25">
      <c r="A13" t="s">
        <v>74</v>
      </c>
      <c r="L13" t="s">
        <v>48</v>
      </c>
    </row>
    <row r="14" spans="1:23" x14ac:dyDescent="0.25">
      <c r="A14" t="s">
        <v>75</v>
      </c>
      <c r="L14" t="s">
        <v>76</v>
      </c>
    </row>
    <row r="15" spans="1:23" x14ac:dyDescent="0.25">
      <c r="A15" t="s">
        <v>77</v>
      </c>
      <c r="L15" t="s">
        <v>78</v>
      </c>
    </row>
    <row r="16" spans="1:23" x14ac:dyDescent="0.25">
      <c r="A16" t="s">
        <v>79</v>
      </c>
      <c r="L16" t="s">
        <v>80</v>
      </c>
    </row>
    <row r="17" spans="1:11" x14ac:dyDescent="0.25">
      <c r="A17" t="s">
        <v>81</v>
      </c>
    </row>
    <row r="18" spans="1:11" x14ac:dyDescent="0.25">
      <c r="A18" t="s">
        <v>82</v>
      </c>
    </row>
    <row r="20" spans="1:11" x14ac:dyDescent="0.25">
      <c r="A20" s="97" t="s">
        <v>83</v>
      </c>
      <c r="B20">
        <v>1.5</v>
      </c>
      <c r="G20" s="97" t="s">
        <v>84</v>
      </c>
      <c r="K20" s="97"/>
    </row>
    <row r="21" spans="1:11" x14ac:dyDescent="0.25">
      <c r="A21" t="s">
        <v>85</v>
      </c>
      <c r="B21" t="s">
        <v>86</v>
      </c>
      <c r="G21" t="s">
        <v>85</v>
      </c>
      <c r="H21" t="s">
        <v>86</v>
      </c>
    </row>
    <row r="22" spans="1:11" x14ac:dyDescent="0.25">
      <c r="A22" t="s">
        <v>87</v>
      </c>
      <c r="B22">
        <f>+H22*$B$20</f>
        <v>1.5</v>
      </c>
      <c r="G22" t="s">
        <v>87</v>
      </c>
      <c r="H22">
        <v>1</v>
      </c>
    </row>
    <row r="23" spans="1:11" x14ac:dyDescent="0.25">
      <c r="A23" t="s">
        <v>88</v>
      </c>
      <c r="B23">
        <f t="shared" ref="B23:B25" si="0">+H23*$B$20</f>
        <v>2.25</v>
      </c>
      <c r="G23" t="s">
        <v>88</v>
      </c>
      <c r="H23">
        <v>1.5</v>
      </c>
    </row>
    <row r="24" spans="1:11" x14ac:dyDescent="0.25">
      <c r="A24" t="s">
        <v>89</v>
      </c>
      <c r="B24">
        <f t="shared" si="0"/>
        <v>3</v>
      </c>
      <c r="G24" t="s">
        <v>89</v>
      </c>
      <c r="H24">
        <v>2</v>
      </c>
    </row>
    <row r="25" spans="1:11" x14ac:dyDescent="0.25">
      <c r="A25" t="s">
        <v>90</v>
      </c>
      <c r="B25">
        <f t="shared" si="0"/>
        <v>4.5</v>
      </c>
      <c r="G25" t="s">
        <v>90</v>
      </c>
      <c r="H25">
        <v>3</v>
      </c>
    </row>
    <row r="27" spans="1:11" x14ac:dyDescent="0.25">
      <c r="A27" t="s">
        <v>91</v>
      </c>
    </row>
    <row r="28" spans="1:11" x14ac:dyDescent="0.25">
      <c r="A28" t="s">
        <v>92</v>
      </c>
      <c r="B28">
        <v>1</v>
      </c>
      <c r="E28">
        <v>1</v>
      </c>
    </row>
    <row r="29" spans="1:11" x14ac:dyDescent="0.25">
      <c r="A29" t="s">
        <v>93</v>
      </c>
      <c r="B29">
        <v>1.5</v>
      </c>
      <c r="E29">
        <v>1.5</v>
      </c>
      <c r="I29">
        <f>1.5*1.5</f>
        <v>2.25</v>
      </c>
    </row>
    <row r="30" spans="1:11" x14ac:dyDescent="0.25">
      <c r="A30" t="s">
        <v>94</v>
      </c>
      <c r="B30">
        <v>2.5</v>
      </c>
      <c r="E30">
        <v>2.5</v>
      </c>
      <c r="I30">
        <f>3*1.5</f>
        <v>4.5</v>
      </c>
    </row>
    <row r="31" spans="1:11" x14ac:dyDescent="0.25">
      <c r="A31" t="s">
        <v>95</v>
      </c>
      <c r="B31">
        <v>0</v>
      </c>
      <c r="E31">
        <v>0</v>
      </c>
    </row>
    <row r="33" spans="1:2" x14ac:dyDescent="0.25">
      <c r="A33" t="s">
        <v>96</v>
      </c>
    </row>
    <row r="34" spans="1:2" x14ac:dyDescent="0.25">
      <c r="A34" t="s">
        <v>97</v>
      </c>
      <c r="B34">
        <v>2</v>
      </c>
    </row>
    <row r="35" spans="1:2" x14ac:dyDescent="0.25">
      <c r="A35" t="s">
        <v>98</v>
      </c>
      <c r="B35">
        <v>3</v>
      </c>
    </row>
    <row r="36" spans="1:2" x14ac:dyDescent="0.25">
      <c r="A36" t="s">
        <v>99</v>
      </c>
      <c r="B36">
        <v>4</v>
      </c>
    </row>
    <row r="37" spans="1:2" x14ac:dyDescent="0.25">
      <c r="A37" t="s">
        <v>100</v>
      </c>
      <c r="B37">
        <v>6</v>
      </c>
    </row>
    <row r="38" spans="1:2" x14ac:dyDescent="0.25">
      <c r="A38" t="s">
        <v>101</v>
      </c>
    </row>
    <row r="39" spans="1:2" x14ac:dyDescent="0.25">
      <c r="A39" t="s">
        <v>102</v>
      </c>
      <c r="B39">
        <v>2</v>
      </c>
    </row>
    <row r="40" spans="1:2" x14ac:dyDescent="0.25">
      <c r="A40" t="s">
        <v>103</v>
      </c>
      <c r="B40">
        <v>3</v>
      </c>
    </row>
    <row r="41" spans="1:2" x14ac:dyDescent="0.25">
      <c r="A41" t="s">
        <v>104</v>
      </c>
      <c r="B41">
        <v>4</v>
      </c>
    </row>
    <row r="42" spans="1:2" x14ac:dyDescent="0.25">
      <c r="A42" t="s">
        <v>105</v>
      </c>
      <c r="B42">
        <v>5</v>
      </c>
    </row>
    <row r="43" spans="1:2" x14ac:dyDescent="0.25">
      <c r="A43" t="s">
        <v>106</v>
      </c>
      <c r="B43">
        <v>6</v>
      </c>
    </row>
    <row r="45" spans="1:2" x14ac:dyDescent="0.25">
      <c r="A45" t="s">
        <v>107</v>
      </c>
    </row>
    <row r="46" spans="1:2" x14ac:dyDescent="0.25">
      <c r="A46" t="s">
        <v>108</v>
      </c>
    </row>
    <row r="47" spans="1:2" x14ac:dyDescent="0.25">
      <c r="A47" t="s">
        <v>109</v>
      </c>
    </row>
    <row r="48" spans="1:2" x14ac:dyDescent="0.25">
      <c r="A48" t="s">
        <v>110</v>
      </c>
    </row>
    <row r="49" spans="1:1" x14ac:dyDescent="0.25">
      <c r="A49" t="s">
        <v>111</v>
      </c>
    </row>
    <row r="50" spans="1:1" x14ac:dyDescent="0.25">
      <c r="A50" t="s">
        <v>112</v>
      </c>
    </row>
    <row r="51" spans="1:1" x14ac:dyDescent="0.25">
      <c r="A51" t="s">
        <v>113</v>
      </c>
    </row>
    <row r="52" spans="1:1" x14ac:dyDescent="0.25">
      <c r="A52" t="s">
        <v>114</v>
      </c>
    </row>
    <row r="54" spans="1:1" x14ac:dyDescent="0.25">
      <c r="A54" t="s">
        <v>115</v>
      </c>
    </row>
    <row r="55" spans="1:1" x14ac:dyDescent="0.25">
      <c r="A55" t="s">
        <v>116</v>
      </c>
    </row>
    <row r="56" spans="1:1" x14ac:dyDescent="0.25">
      <c r="A56" t="s">
        <v>117</v>
      </c>
    </row>
    <row r="57" spans="1:1" x14ac:dyDescent="0.25">
      <c r="A57" t="s">
        <v>118</v>
      </c>
    </row>
    <row r="58" spans="1:1" x14ac:dyDescent="0.25">
      <c r="A58" t="s">
        <v>119</v>
      </c>
    </row>
    <row r="59" spans="1:1" x14ac:dyDescent="0.25">
      <c r="A59" t="s">
        <v>120</v>
      </c>
    </row>
    <row r="61" spans="1:1" x14ac:dyDescent="0.25">
      <c r="A61" t="s">
        <v>85</v>
      </c>
    </row>
    <row r="62" spans="1:1" x14ac:dyDescent="0.25">
      <c r="A62" t="s">
        <v>121</v>
      </c>
    </row>
    <row r="63" spans="1:1" x14ac:dyDescent="0.25">
      <c r="A63" t="s">
        <v>122</v>
      </c>
    </row>
    <row r="64" spans="1:1" x14ac:dyDescent="0.25">
      <c r="A64" t="s">
        <v>123</v>
      </c>
    </row>
    <row r="65" spans="1:1" x14ac:dyDescent="0.25">
      <c r="A65" t="s">
        <v>124</v>
      </c>
    </row>
    <row r="66" spans="1:1" x14ac:dyDescent="0.25">
      <c r="A66" t="s">
        <v>125</v>
      </c>
    </row>
  </sheetData>
  <sheetProtection algorithmName="SHA-512" hashValue="UUAAAMOOQYzaulu0JdWAR38swa2ZmIa9KwG1DWTkQeM9PfLmz6xLLR/DnCqCGoFqvJd/vk9rmeyTB+ii9iRyrA==" saltValue="bgMF/hfg4bTsQfzQo4xCiA==" spinCount="100000" sheet="1" objects="1" scenarios="1"/>
  <mergeCells count="1">
    <mergeCell ref="A1: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9"/>
  <sheetViews>
    <sheetView zoomScale="89" zoomScaleNormal="89" workbookViewId="0">
      <pane xSplit="3" topLeftCell="I1" activePane="topRight" state="frozen"/>
      <selection pane="topRight" activeCell="I49" sqref="I49"/>
    </sheetView>
  </sheetViews>
  <sheetFormatPr baseColWidth="10" defaultColWidth="9.140625" defaultRowHeight="12" x14ac:dyDescent="0.25"/>
  <cols>
    <col min="1" max="1" width="20.42578125" style="1" customWidth="1"/>
    <col min="2" max="2" width="25.42578125" style="1" bestFit="1" customWidth="1"/>
    <col min="3" max="3" width="40.85546875" style="1" customWidth="1"/>
    <col min="4" max="4" width="17.5703125" style="1" customWidth="1"/>
    <col min="5" max="5" width="28.42578125" style="1" customWidth="1"/>
    <col min="6" max="6" width="61.85546875" style="1" customWidth="1"/>
    <col min="7" max="7" width="37.28515625" style="1" customWidth="1"/>
    <col min="8" max="8" width="21.85546875" style="1" customWidth="1"/>
    <col min="9" max="9" width="13.42578125" style="1" customWidth="1"/>
    <col min="10" max="10" width="17.28515625" style="1" customWidth="1"/>
    <col min="11" max="11" width="16.5703125" style="1" customWidth="1"/>
    <col min="12" max="12" width="11.42578125" style="1" customWidth="1"/>
    <col min="13" max="13" width="14" style="1" customWidth="1"/>
    <col min="14" max="14" width="28" style="1" customWidth="1"/>
    <col min="15" max="15" width="24.28515625" style="1" customWidth="1"/>
    <col min="16" max="16" width="14.28515625" style="1" customWidth="1"/>
    <col min="17" max="17" width="17.5703125" style="1" customWidth="1"/>
    <col min="18" max="18" width="12.5703125" style="1" customWidth="1"/>
    <col min="19" max="16384" width="9.140625" style="1"/>
  </cols>
  <sheetData>
    <row r="1" spans="1:25" ht="24" x14ac:dyDescent="0.25">
      <c r="A1" s="1" t="s">
        <v>126</v>
      </c>
      <c r="B1" s="1" t="s">
        <v>127</v>
      </c>
      <c r="C1" s="1" t="s">
        <v>128</v>
      </c>
      <c r="D1" s="1" t="s">
        <v>129</v>
      </c>
      <c r="E1" s="1" t="s">
        <v>130</v>
      </c>
      <c r="F1" s="1" t="s">
        <v>24</v>
      </c>
      <c r="G1" s="1" t="s">
        <v>131</v>
      </c>
      <c r="H1" s="1" t="s">
        <v>132</v>
      </c>
      <c r="I1" s="1" t="s">
        <v>133</v>
      </c>
      <c r="J1" s="1" t="s">
        <v>134</v>
      </c>
      <c r="K1" s="1" t="s">
        <v>135</v>
      </c>
      <c r="L1" s="1" t="s">
        <v>136</v>
      </c>
      <c r="M1" s="1" t="s">
        <v>40</v>
      </c>
      <c r="N1" s="1" t="s">
        <v>137</v>
      </c>
      <c r="O1" s="1" t="s">
        <v>138</v>
      </c>
      <c r="P1" s="1" t="s">
        <v>72</v>
      </c>
      <c r="Q1" s="1" t="s">
        <v>139</v>
      </c>
      <c r="R1" s="20" t="s">
        <v>85</v>
      </c>
      <c r="S1" s="20" t="s">
        <v>140</v>
      </c>
      <c r="T1" s="20" t="s">
        <v>141</v>
      </c>
      <c r="U1" s="20" t="s">
        <v>142</v>
      </c>
      <c r="V1" s="20" t="s">
        <v>143</v>
      </c>
      <c r="W1" s="20" t="s">
        <v>144</v>
      </c>
      <c r="X1" s="20" t="s">
        <v>145</v>
      </c>
      <c r="Y1" s="20" t="s">
        <v>146</v>
      </c>
    </row>
    <row r="2" spans="1:25" ht="72" x14ac:dyDescent="0.25">
      <c r="A2" s="2" t="s">
        <v>57</v>
      </c>
      <c r="B2" s="2" t="s">
        <v>33</v>
      </c>
      <c r="C2" s="14" t="s">
        <v>147</v>
      </c>
      <c r="D2" s="4"/>
      <c r="E2" s="2" t="s">
        <v>148</v>
      </c>
      <c r="F2" s="2" t="s">
        <v>149</v>
      </c>
      <c r="G2" s="2"/>
      <c r="H2" s="2" t="s">
        <v>150</v>
      </c>
      <c r="I2" s="2" t="s">
        <v>66</v>
      </c>
      <c r="J2" s="2" t="s">
        <v>151</v>
      </c>
      <c r="K2" s="2"/>
      <c r="L2" s="4"/>
      <c r="M2" s="2">
        <v>1</v>
      </c>
      <c r="N2" s="2"/>
      <c r="O2" s="2"/>
      <c r="P2" s="2" t="s">
        <v>81</v>
      </c>
      <c r="Q2" s="2"/>
      <c r="R2" s="1">
        <v>1</v>
      </c>
      <c r="S2" s="1" t="s">
        <v>33</v>
      </c>
      <c r="T2" s="1">
        <f>+VLOOKUP(S2,Atributos!$P$2:$W$5,3)*R2</f>
        <v>1</v>
      </c>
      <c r="U2" s="1">
        <f>+VLOOKUP(S2,Atributos!$P$2:$W$5,4)*R2</f>
        <v>1</v>
      </c>
      <c r="V2" s="1">
        <f>+VLOOKUP(S2,Atributos!$P$2:$W$5,5)*R2</f>
        <v>4</v>
      </c>
      <c r="W2" s="1">
        <f>+VLOOKUP(S2,Atributos!$P$2:$W$5,6)*R2</f>
        <v>4</v>
      </c>
      <c r="X2" s="1">
        <f>+VLOOKUP(S2,Atributos!$P$2:$W$5,7)*R2</f>
        <v>0</v>
      </c>
      <c r="Y2" s="1">
        <f>+VLOOKUP(S2,Atributos!$P$2:$W$5,8)*R2</f>
        <v>0</v>
      </c>
    </row>
    <row r="3" spans="1:25" ht="228" x14ac:dyDescent="0.25">
      <c r="A3" s="2" t="s">
        <v>57</v>
      </c>
      <c r="B3" s="2" t="s">
        <v>152</v>
      </c>
      <c r="C3" s="14" t="s">
        <v>153</v>
      </c>
      <c r="D3" s="4" t="s">
        <v>154</v>
      </c>
      <c r="E3" s="2" t="s">
        <v>155</v>
      </c>
      <c r="F3" s="2" t="s">
        <v>156</v>
      </c>
      <c r="G3" s="2" t="s">
        <v>157</v>
      </c>
      <c r="H3" s="2" t="s">
        <v>158</v>
      </c>
      <c r="I3" s="2" t="s">
        <v>66</v>
      </c>
      <c r="J3" s="2" t="s">
        <v>151</v>
      </c>
      <c r="K3" s="2"/>
      <c r="L3" s="4"/>
      <c r="M3" s="2">
        <v>1</v>
      </c>
      <c r="N3" s="15" t="s">
        <v>159</v>
      </c>
      <c r="O3" s="15"/>
      <c r="P3" s="2" t="s">
        <v>81</v>
      </c>
      <c r="Q3" s="2"/>
      <c r="R3" s="1">
        <v>1</v>
      </c>
      <c r="S3" s="1" t="s">
        <v>31</v>
      </c>
      <c r="T3" s="1">
        <f>+VLOOKUP(S3,Atributos!$P$2:$W$5,3)*R3</f>
        <v>1</v>
      </c>
      <c r="U3" s="1">
        <f>+VLOOKUP(S3,Atributos!$P$2:$W$5,4)*R3</f>
        <v>1</v>
      </c>
      <c r="V3" s="1">
        <f>+VLOOKUP(S3,Atributos!$P$2:$W$5,5)*R3</f>
        <v>8</v>
      </c>
      <c r="W3" s="1">
        <f>+VLOOKUP(S3,Atributos!$P$2:$W$5,6)*R3</f>
        <v>8</v>
      </c>
      <c r="X3" s="1">
        <f>+VLOOKUP(S3,Atributos!$P$2:$W$5,7)*R3</f>
        <v>8</v>
      </c>
      <c r="Y3" s="1">
        <f>+VLOOKUP(S3,Atributos!$P$2:$W$5,8)*R3</f>
        <v>0</v>
      </c>
    </row>
    <row r="4" spans="1:25" ht="96" x14ac:dyDescent="0.25">
      <c r="A4" s="2" t="s">
        <v>57</v>
      </c>
      <c r="B4" s="2" t="s">
        <v>160</v>
      </c>
      <c r="C4" s="14" t="s">
        <v>161</v>
      </c>
      <c r="D4" s="4" t="s">
        <v>162</v>
      </c>
      <c r="E4" s="2" t="s">
        <v>163</v>
      </c>
      <c r="F4" s="2" t="s">
        <v>164</v>
      </c>
      <c r="G4" s="2" t="s">
        <v>165</v>
      </c>
      <c r="H4" s="2" t="s">
        <v>166</v>
      </c>
      <c r="I4" s="2" t="s">
        <v>66</v>
      </c>
      <c r="J4" s="2" t="s">
        <v>151</v>
      </c>
      <c r="K4" s="2"/>
      <c r="L4" s="11" t="s">
        <v>167</v>
      </c>
      <c r="M4" s="2">
        <v>1</v>
      </c>
      <c r="N4" s="2"/>
      <c r="O4" s="2"/>
      <c r="P4" s="2" t="s">
        <v>81</v>
      </c>
      <c r="Q4" s="2"/>
      <c r="R4" s="1">
        <v>1</v>
      </c>
      <c r="S4" s="1" t="s">
        <v>41</v>
      </c>
      <c r="T4" s="1">
        <f>+VLOOKUP(S4,Atributos!$P$2:$W$5,3)*R4</f>
        <v>1</v>
      </c>
      <c r="U4" s="1">
        <f>+VLOOKUP(S4,Atributos!$P$2:$W$5,4)*R4</f>
        <v>2</v>
      </c>
      <c r="V4" s="1">
        <f>+VLOOKUP(S4,Atributos!$P$2:$W$5,5)*R4</f>
        <v>16</v>
      </c>
      <c r="W4" s="1">
        <f>+VLOOKUP(S4,Atributos!$P$2:$W$5,6)*R4</f>
        <v>32</v>
      </c>
      <c r="X4" s="1">
        <f>+VLOOKUP(S4,Atributos!$P$2:$W$5,7)*R4</f>
        <v>8</v>
      </c>
      <c r="Y4" s="1">
        <f>+VLOOKUP(S4,Atributos!$P$2:$W$5,8)*R4</f>
        <v>8</v>
      </c>
    </row>
    <row r="5" spans="1:25" ht="132" x14ac:dyDescent="0.25">
      <c r="A5" s="2" t="s">
        <v>57</v>
      </c>
      <c r="B5" s="2" t="s">
        <v>160</v>
      </c>
      <c r="C5" s="14" t="s">
        <v>168</v>
      </c>
      <c r="D5" s="4" t="s">
        <v>169</v>
      </c>
      <c r="E5" s="2" t="s">
        <v>170</v>
      </c>
      <c r="F5" s="2" t="s">
        <v>171</v>
      </c>
      <c r="G5" s="2" t="s">
        <v>172</v>
      </c>
      <c r="H5" s="2" t="s">
        <v>173</v>
      </c>
      <c r="I5" s="2" t="s">
        <v>66</v>
      </c>
      <c r="J5" s="2" t="s">
        <v>151</v>
      </c>
      <c r="K5" s="2"/>
      <c r="L5" s="11" t="s">
        <v>167</v>
      </c>
      <c r="M5" s="7">
        <v>1</v>
      </c>
      <c r="N5" s="2"/>
      <c r="O5" s="2"/>
      <c r="P5" s="2" t="s">
        <v>81</v>
      </c>
      <c r="Q5" s="2"/>
      <c r="R5" s="1">
        <v>1</v>
      </c>
      <c r="S5" s="1" t="s">
        <v>41</v>
      </c>
      <c r="T5" s="1">
        <f>+VLOOKUP(S5,Atributos!$P$2:$W$5,3)*R5</f>
        <v>1</v>
      </c>
      <c r="U5" s="1">
        <f>+VLOOKUP(S5,Atributos!$P$2:$W$5,4)*R5</f>
        <v>2</v>
      </c>
      <c r="V5" s="1">
        <f>+VLOOKUP(S5,Atributos!$P$2:$W$5,5)*R5</f>
        <v>16</v>
      </c>
      <c r="W5" s="1">
        <f>+VLOOKUP(S5,Atributos!$P$2:$W$5,6)*R5</f>
        <v>32</v>
      </c>
      <c r="X5" s="1">
        <f>+VLOOKUP(S5,Atributos!$P$2:$W$5,7)*R5</f>
        <v>8</v>
      </c>
      <c r="Y5" s="1">
        <f>+VLOOKUP(S5,Atributos!$P$2:$W$5,8)*R5</f>
        <v>8</v>
      </c>
    </row>
    <row r="6" spans="1:25" ht="96" x14ac:dyDescent="0.25">
      <c r="A6" s="2" t="s">
        <v>57</v>
      </c>
      <c r="B6" s="2" t="s">
        <v>160</v>
      </c>
      <c r="C6" s="14" t="s">
        <v>174</v>
      </c>
      <c r="D6" s="4" t="s">
        <v>175</v>
      </c>
      <c r="E6" s="2" t="s">
        <v>176</v>
      </c>
      <c r="F6" s="2" t="s">
        <v>177</v>
      </c>
      <c r="G6" s="8" t="s">
        <v>178</v>
      </c>
      <c r="H6" s="8" t="s">
        <v>179</v>
      </c>
      <c r="I6" s="2" t="s">
        <v>66</v>
      </c>
      <c r="J6" s="2" t="s">
        <v>151</v>
      </c>
      <c r="K6" s="8"/>
      <c r="L6" s="11" t="s">
        <v>180</v>
      </c>
      <c r="M6" s="2">
        <v>1</v>
      </c>
      <c r="N6" s="2"/>
      <c r="O6" s="2"/>
      <c r="P6" s="2" t="s">
        <v>81</v>
      </c>
      <c r="Q6" s="2"/>
      <c r="R6" s="1">
        <v>1</v>
      </c>
      <c r="S6" s="1" t="s">
        <v>41</v>
      </c>
      <c r="T6" s="1">
        <f>+VLOOKUP(S6,Atributos!$P$2:$W$5,3)*R6</f>
        <v>1</v>
      </c>
      <c r="U6" s="1">
        <f>+VLOOKUP(S6,Atributos!$P$2:$W$5,4)*R6</f>
        <v>2</v>
      </c>
      <c r="V6" s="1">
        <f>+VLOOKUP(S6,Atributos!$P$2:$W$5,5)*R6</f>
        <v>16</v>
      </c>
      <c r="W6" s="1">
        <f>+VLOOKUP(S6,Atributos!$P$2:$W$5,6)*R6</f>
        <v>32</v>
      </c>
      <c r="X6" s="1">
        <f>+VLOOKUP(S6,Atributos!$P$2:$W$5,7)*R6</f>
        <v>8</v>
      </c>
      <c r="Y6" s="1">
        <f>+VLOOKUP(S6,Atributos!$P$2:$W$5,8)*R6</f>
        <v>8</v>
      </c>
    </row>
    <row r="7" spans="1:25" ht="60" x14ac:dyDescent="0.25">
      <c r="A7" s="2" t="s">
        <v>57</v>
      </c>
      <c r="B7" s="2" t="s">
        <v>160</v>
      </c>
      <c r="C7" s="14" t="s">
        <v>181</v>
      </c>
      <c r="D7" s="4" t="s">
        <v>182</v>
      </c>
      <c r="E7" s="2" t="s">
        <v>183</v>
      </c>
      <c r="F7" s="2" t="s">
        <v>184</v>
      </c>
      <c r="G7" s="2"/>
      <c r="H7" s="2" t="s">
        <v>185</v>
      </c>
      <c r="I7" s="2" t="s">
        <v>66</v>
      </c>
      <c r="J7" s="2" t="s">
        <v>151</v>
      </c>
      <c r="K7" s="2"/>
      <c r="L7" s="11" t="s">
        <v>180</v>
      </c>
      <c r="M7" s="7">
        <v>1</v>
      </c>
      <c r="N7" s="2"/>
      <c r="O7" s="2"/>
      <c r="P7" s="2" t="s">
        <v>81</v>
      </c>
      <c r="Q7" s="2"/>
      <c r="R7" s="1">
        <v>1</v>
      </c>
      <c r="S7" s="1" t="s">
        <v>48</v>
      </c>
      <c r="T7" s="1">
        <f>+VLOOKUP(S7,Atributos!$P$2:$W$5,3)*R7</f>
        <v>1</v>
      </c>
      <c r="U7" s="1">
        <f>+VLOOKUP(S7,Atributos!$P$2:$W$5,4)*R7</f>
        <v>2</v>
      </c>
      <c r="V7" s="1">
        <f>+VLOOKUP(S7,Atributos!$P$2:$W$5,5)*R7</f>
        <v>4</v>
      </c>
      <c r="W7" s="1">
        <f>+VLOOKUP(S7,Atributos!$P$2:$W$5,6)*R7</f>
        <v>16</v>
      </c>
      <c r="X7" s="1">
        <f>+VLOOKUP(S7,Atributos!$P$2:$W$5,7)*R7</f>
        <v>0</v>
      </c>
      <c r="Y7" s="1">
        <f>+VLOOKUP(S7,Atributos!$P$2:$W$5,8)*R7</f>
        <v>8</v>
      </c>
    </row>
    <row r="8" spans="1:25" ht="144" x14ac:dyDescent="0.25">
      <c r="A8" s="2" t="s">
        <v>57</v>
      </c>
      <c r="B8" s="2" t="s">
        <v>186</v>
      </c>
      <c r="C8" s="14" t="s">
        <v>187</v>
      </c>
      <c r="D8" s="4" t="s">
        <v>188</v>
      </c>
      <c r="E8" s="2" t="s">
        <v>189</v>
      </c>
      <c r="F8" s="2" t="s">
        <v>190</v>
      </c>
      <c r="G8" s="2"/>
      <c r="H8" s="2"/>
      <c r="I8" s="2" t="s">
        <v>66</v>
      </c>
      <c r="J8" s="2" t="s">
        <v>151</v>
      </c>
      <c r="K8" s="2"/>
      <c r="L8" s="11" t="s">
        <v>180</v>
      </c>
      <c r="M8" s="7">
        <v>1</v>
      </c>
      <c r="N8" s="2"/>
      <c r="O8" s="2"/>
      <c r="P8" s="2" t="s">
        <v>81</v>
      </c>
      <c r="Q8" s="2"/>
      <c r="R8" s="1">
        <v>1</v>
      </c>
      <c r="S8" s="1" t="s">
        <v>41</v>
      </c>
      <c r="T8" s="1">
        <f>+VLOOKUP(S8,Atributos!$P$2:$W$5,3)*R8</f>
        <v>1</v>
      </c>
      <c r="U8" s="1">
        <f>+VLOOKUP(S8,Atributos!$P$2:$W$5,4)*R8</f>
        <v>2</v>
      </c>
      <c r="V8" s="1">
        <f>+VLOOKUP(S8,Atributos!$P$2:$W$5,5)*R8</f>
        <v>16</v>
      </c>
      <c r="W8" s="1">
        <f>+VLOOKUP(S8,Atributos!$P$2:$W$5,6)*R8</f>
        <v>32</v>
      </c>
      <c r="X8" s="1">
        <f>+VLOOKUP(S8,Atributos!$P$2:$W$5,7)*R8</f>
        <v>8</v>
      </c>
      <c r="Y8" s="1">
        <f>+VLOOKUP(S8,Atributos!$P$2:$W$5,8)*R8</f>
        <v>8</v>
      </c>
    </row>
    <row r="9" spans="1:25" ht="60" x14ac:dyDescent="0.25">
      <c r="A9" s="2" t="s">
        <v>57</v>
      </c>
      <c r="B9" s="2" t="s">
        <v>160</v>
      </c>
      <c r="C9" s="14" t="s">
        <v>191</v>
      </c>
      <c r="D9" s="4"/>
      <c r="E9" s="14"/>
      <c r="F9" s="14"/>
      <c r="G9" s="14"/>
      <c r="H9" s="14"/>
      <c r="I9" s="2" t="s">
        <v>66</v>
      </c>
      <c r="J9" s="2" t="s">
        <v>151</v>
      </c>
      <c r="K9" s="14"/>
      <c r="L9" s="4"/>
      <c r="M9" s="7">
        <v>2</v>
      </c>
      <c r="N9" s="2"/>
      <c r="O9" s="2"/>
      <c r="P9" s="2" t="s">
        <v>81</v>
      </c>
      <c r="Q9" s="2"/>
      <c r="R9" s="1">
        <v>1</v>
      </c>
      <c r="S9" s="1" t="s">
        <v>41</v>
      </c>
      <c r="T9" s="1">
        <f>+VLOOKUP(S9,Atributos!$P$2:$W$5,3)*R9</f>
        <v>1</v>
      </c>
      <c r="U9" s="1">
        <f>+VLOOKUP(S9,Atributos!$P$2:$W$5,4)*R9</f>
        <v>2</v>
      </c>
      <c r="V9" s="1">
        <f>+VLOOKUP(S9,Atributos!$P$2:$W$5,5)*R9</f>
        <v>16</v>
      </c>
      <c r="W9" s="1">
        <f>+VLOOKUP(S9,Atributos!$P$2:$W$5,6)*R9</f>
        <v>32</v>
      </c>
      <c r="X9" s="1">
        <f>+VLOOKUP(S9,Atributos!$P$2:$W$5,7)*R9</f>
        <v>8</v>
      </c>
      <c r="Y9" s="1">
        <f>+VLOOKUP(S9,Atributos!$P$2:$W$5,8)*R9</f>
        <v>8</v>
      </c>
    </row>
    <row r="10" spans="1:25" ht="36" x14ac:dyDescent="0.25">
      <c r="A10" s="2" t="s">
        <v>68</v>
      </c>
      <c r="B10" s="2" t="s">
        <v>33</v>
      </c>
      <c r="C10" s="3" t="s">
        <v>192</v>
      </c>
      <c r="D10" s="4"/>
      <c r="E10" s="3" t="s">
        <v>193</v>
      </c>
      <c r="F10" s="3" t="s">
        <v>194</v>
      </c>
      <c r="G10" s="3"/>
      <c r="H10" s="3"/>
      <c r="I10" s="2" t="s">
        <v>71</v>
      </c>
      <c r="J10" s="3"/>
      <c r="K10" s="3"/>
      <c r="L10" s="4"/>
      <c r="M10" s="4">
        <v>2</v>
      </c>
      <c r="N10" s="2"/>
      <c r="O10" s="2"/>
      <c r="P10" s="2" t="s">
        <v>81</v>
      </c>
      <c r="Q10" s="2"/>
      <c r="R10" s="1">
        <v>1</v>
      </c>
      <c r="S10" s="1" t="s">
        <v>33</v>
      </c>
      <c r="T10" s="1">
        <f>+VLOOKUP(S10,Atributos!$P$2:$W$5,3)*R10</f>
        <v>1</v>
      </c>
      <c r="U10" s="1">
        <f>+VLOOKUP(S10,Atributos!$P$2:$W$5,4)*R10</f>
        <v>1</v>
      </c>
      <c r="V10" s="1">
        <f>+VLOOKUP(S10,Atributos!$P$2:$W$5,5)*R10</f>
        <v>4</v>
      </c>
      <c r="W10" s="1">
        <f>+VLOOKUP(S10,Atributos!$P$2:$W$5,6)*R10</f>
        <v>4</v>
      </c>
      <c r="X10" s="1">
        <f>+VLOOKUP(S10,Atributos!$P$2:$W$5,7)*R10</f>
        <v>0</v>
      </c>
      <c r="Y10" s="1">
        <f>+VLOOKUP(S10,Atributos!$P$2:$W$5,8)*R10</f>
        <v>0</v>
      </c>
    </row>
    <row r="11" spans="1:25" ht="48" x14ac:dyDescent="0.25">
      <c r="A11" s="2" t="s">
        <v>68</v>
      </c>
      <c r="B11" s="2" t="s">
        <v>152</v>
      </c>
      <c r="C11" s="3" t="s">
        <v>195</v>
      </c>
      <c r="D11" s="4"/>
      <c r="E11" s="3" t="s">
        <v>196</v>
      </c>
      <c r="F11" s="3" t="s">
        <v>197</v>
      </c>
      <c r="G11" s="26"/>
      <c r="H11" s="26"/>
      <c r="I11" s="2" t="s">
        <v>71</v>
      </c>
      <c r="J11" s="26"/>
      <c r="K11" s="26"/>
      <c r="L11" s="4"/>
      <c r="M11" s="4">
        <v>2</v>
      </c>
      <c r="N11" s="2"/>
      <c r="O11" s="2"/>
      <c r="P11" s="2" t="s">
        <v>81</v>
      </c>
      <c r="Q11" s="2"/>
      <c r="R11" s="1">
        <v>1</v>
      </c>
      <c r="S11" s="1" t="s">
        <v>31</v>
      </c>
      <c r="T11" s="1">
        <f>+VLOOKUP(S11,Atributos!$P$2:$W$5,3)*R11</f>
        <v>1</v>
      </c>
      <c r="U11" s="1">
        <f>+VLOOKUP(S11,Atributos!$P$2:$W$5,4)*R11</f>
        <v>1</v>
      </c>
      <c r="V11" s="1">
        <f>+VLOOKUP(S11,Atributos!$P$2:$W$5,5)*R11</f>
        <v>8</v>
      </c>
      <c r="W11" s="1">
        <f>+VLOOKUP(S11,Atributos!$P$2:$W$5,6)*R11</f>
        <v>8</v>
      </c>
      <c r="X11" s="1">
        <f>+VLOOKUP(S11,Atributos!$P$2:$W$5,7)*R11</f>
        <v>8</v>
      </c>
      <c r="Y11" s="1">
        <f>+VLOOKUP(S11,Atributos!$P$2:$W$5,8)*R11</f>
        <v>0</v>
      </c>
    </row>
    <row r="12" spans="1:25" ht="84" x14ac:dyDescent="0.25">
      <c r="A12" s="2" t="s">
        <v>68</v>
      </c>
      <c r="B12" s="2" t="s">
        <v>198</v>
      </c>
      <c r="C12" s="3" t="s">
        <v>199</v>
      </c>
      <c r="D12" s="4" t="s">
        <v>200</v>
      </c>
      <c r="E12" s="3" t="s">
        <v>201</v>
      </c>
      <c r="F12" s="3" t="s">
        <v>202</v>
      </c>
      <c r="G12" s="13" t="s">
        <v>203</v>
      </c>
      <c r="H12" s="3"/>
      <c r="I12" s="2" t="s">
        <v>71</v>
      </c>
      <c r="J12" s="3"/>
      <c r="K12" s="3"/>
      <c r="L12" s="4"/>
      <c r="M12" s="4">
        <v>2</v>
      </c>
      <c r="N12" s="2"/>
      <c r="O12" s="2"/>
      <c r="P12" s="2" t="s">
        <v>81</v>
      </c>
      <c r="Q12" s="2"/>
      <c r="R12" s="1">
        <v>1</v>
      </c>
      <c r="S12" s="1" t="s">
        <v>41</v>
      </c>
      <c r="T12" s="1">
        <f>+VLOOKUP(S12,Atributos!$P$2:$W$5,3)*R12</f>
        <v>1</v>
      </c>
      <c r="U12" s="1">
        <f>+VLOOKUP(S12,Atributos!$P$2:$W$5,4)*R12</f>
        <v>2</v>
      </c>
      <c r="V12" s="1">
        <f>+VLOOKUP(S12,Atributos!$P$2:$W$5,5)*R12</f>
        <v>16</v>
      </c>
      <c r="W12" s="1">
        <f>+VLOOKUP(S12,Atributos!$P$2:$W$5,6)*R12</f>
        <v>32</v>
      </c>
      <c r="X12" s="1">
        <f>+VLOOKUP(S12,Atributos!$P$2:$W$5,7)*R12</f>
        <v>8</v>
      </c>
      <c r="Y12" s="1">
        <f>+VLOOKUP(S12,Atributos!$P$2:$W$5,8)*R12</f>
        <v>8</v>
      </c>
    </row>
    <row r="13" spans="1:25" ht="84" x14ac:dyDescent="0.25">
      <c r="A13" s="2" t="s">
        <v>68</v>
      </c>
      <c r="B13" s="2" t="s">
        <v>198</v>
      </c>
      <c r="C13" s="3" t="s">
        <v>204</v>
      </c>
      <c r="D13" s="4" t="s">
        <v>205</v>
      </c>
      <c r="E13" s="3" t="s">
        <v>206</v>
      </c>
      <c r="F13" s="3" t="s">
        <v>207</v>
      </c>
      <c r="G13" s="13" t="s">
        <v>208</v>
      </c>
      <c r="H13" s="3"/>
      <c r="I13" s="2" t="s">
        <v>71</v>
      </c>
      <c r="J13" s="3"/>
      <c r="K13" s="3"/>
      <c r="L13" s="4"/>
      <c r="M13" s="4">
        <v>2</v>
      </c>
      <c r="N13" s="2"/>
      <c r="O13" s="2"/>
      <c r="P13" s="2" t="s">
        <v>81</v>
      </c>
      <c r="Q13" s="2"/>
      <c r="R13" s="1">
        <v>1</v>
      </c>
      <c r="S13" s="1" t="s">
        <v>41</v>
      </c>
      <c r="T13" s="1">
        <f>+VLOOKUP(S13,Atributos!$P$2:$W$5,3)*R13</f>
        <v>1</v>
      </c>
      <c r="U13" s="1">
        <f>+VLOOKUP(S13,Atributos!$P$2:$W$5,4)*R13</f>
        <v>2</v>
      </c>
      <c r="V13" s="1">
        <f>+VLOOKUP(S13,Atributos!$P$2:$W$5,5)*R13</f>
        <v>16</v>
      </c>
      <c r="W13" s="1">
        <f>+VLOOKUP(S13,Atributos!$P$2:$W$5,6)*R13</f>
        <v>32</v>
      </c>
      <c r="X13" s="1">
        <f>+VLOOKUP(S13,Atributos!$P$2:$W$5,7)*R13</f>
        <v>8</v>
      </c>
      <c r="Y13" s="1">
        <f>+VLOOKUP(S13,Atributos!$P$2:$W$5,8)*R13</f>
        <v>8</v>
      </c>
    </row>
    <row r="14" spans="1:25" ht="36" x14ac:dyDescent="0.25">
      <c r="A14" s="2" t="s">
        <v>68</v>
      </c>
      <c r="B14" s="2" t="s">
        <v>198</v>
      </c>
      <c r="C14" s="3" t="s">
        <v>209</v>
      </c>
      <c r="D14" s="4" t="s">
        <v>210</v>
      </c>
      <c r="E14" s="3" t="s">
        <v>211</v>
      </c>
      <c r="F14" s="3" t="s">
        <v>212</v>
      </c>
      <c r="G14" s="13" t="s">
        <v>213</v>
      </c>
      <c r="H14" s="3"/>
      <c r="I14" s="2" t="s">
        <v>71</v>
      </c>
      <c r="J14" s="3"/>
      <c r="K14" s="3"/>
      <c r="L14" s="4"/>
      <c r="M14" s="4">
        <v>2</v>
      </c>
      <c r="N14" s="2"/>
      <c r="O14" s="2"/>
      <c r="P14" s="2" t="s">
        <v>81</v>
      </c>
      <c r="Q14" s="2"/>
      <c r="R14" s="1">
        <v>1</v>
      </c>
      <c r="S14" s="1" t="s">
        <v>41</v>
      </c>
      <c r="T14" s="1">
        <f>+VLOOKUP(S14,Atributos!$P$2:$W$5,3)*R14</f>
        <v>1</v>
      </c>
      <c r="U14" s="1">
        <f>+VLOOKUP(S14,Atributos!$P$2:$W$5,4)*R14</f>
        <v>2</v>
      </c>
      <c r="V14" s="1">
        <f>+VLOOKUP(S14,Atributos!$P$2:$W$5,5)*R14</f>
        <v>16</v>
      </c>
      <c r="W14" s="1">
        <f>+VLOOKUP(S14,Atributos!$P$2:$W$5,6)*R14</f>
        <v>32</v>
      </c>
      <c r="X14" s="1">
        <f>+VLOOKUP(S14,Atributos!$P$2:$W$5,7)*R14</f>
        <v>8</v>
      </c>
      <c r="Y14" s="1">
        <f>+VLOOKUP(S14,Atributos!$P$2:$W$5,8)*R14</f>
        <v>8</v>
      </c>
    </row>
    <row r="15" spans="1:25" ht="48" x14ac:dyDescent="0.25">
      <c r="A15" s="2" t="s">
        <v>68</v>
      </c>
      <c r="B15" s="2" t="s">
        <v>198</v>
      </c>
      <c r="C15" s="3" t="s">
        <v>214</v>
      </c>
      <c r="D15" s="4" t="s">
        <v>215</v>
      </c>
      <c r="E15" s="3" t="s">
        <v>216</v>
      </c>
      <c r="F15" s="3" t="s">
        <v>217</v>
      </c>
      <c r="G15" s="13" t="s">
        <v>218</v>
      </c>
      <c r="H15" s="3"/>
      <c r="I15" s="2" t="s">
        <v>71</v>
      </c>
      <c r="J15" s="3"/>
      <c r="K15" s="3"/>
      <c r="L15" s="4"/>
      <c r="M15" s="4">
        <v>2</v>
      </c>
      <c r="N15" s="2"/>
      <c r="O15" s="2"/>
      <c r="P15" s="2" t="s">
        <v>81</v>
      </c>
      <c r="Q15" s="2"/>
      <c r="R15" s="1">
        <v>1</v>
      </c>
      <c r="S15" s="1" t="s">
        <v>41</v>
      </c>
      <c r="T15" s="1">
        <f>+VLOOKUP(S15,Atributos!$P$2:$W$5,3)*R15</f>
        <v>1</v>
      </c>
      <c r="U15" s="1">
        <f>+VLOOKUP(S15,Atributos!$P$2:$W$5,4)*R15</f>
        <v>2</v>
      </c>
      <c r="V15" s="1">
        <f>+VLOOKUP(S15,Atributos!$P$2:$W$5,5)*R15</f>
        <v>16</v>
      </c>
      <c r="W15" s="1">
        <f>+VLOOKUP(S15,Atributos!$P$2:$W$5,6)*R15</f>
        <v>32</v>
      </c>
      <c r="X15" s="1">
        <f>+VLOOKUP(S15,Atributos!$P$2:$W$5,7)*R15</f>
        <v>8</v>
      </c>
      <c r="Y15" s="1">
        <f>+VLOOKUP(S15,Atributos!$P$2:$W$5,8)*R15</f>
        <v>8</v>
      </c>
    </row>
    <row r="16" spans="1:25" ht="144" x14ac:dyDescent="0.25">
      <c r="A16" s="2" t="s">
        <v>57</v>
      </c>
      <c r="B16" s="2" t="s">
        <v>33</v>
      </c>
      <c r="C16" s="2" t="s">
        <v>219</v>
      </c>
      <c r="D16" s="4"/>
      <c r="E16" s="2" t="s">
        <v>220</v>
      </c>
      <c r="F16" s="2" t="s">
        <v>221</v>
      </c>
      <c r="G16" s="2" t="s">
        <v>222</v>
      </c>
      <c r="H16" s="2" t="s">
        <v>223</v>
      </c>
      <c r="I16" s="2" t="s">
        <v>62</v>
      </c>
      <c r="J16" s="2" t="s">
        <v>151</v>
      </c>
      <c r="K16" s="2"/>
      <c r="L16" s="4"/>
      <c r="M16" s="2">
        <v>1</v>
      </c>
      <c r="N16" s="6" t="s">
        <v>224</v>
      </c>
      <c r="O16" s="2"/>
      <c r="P16" s="2" t="s">
        <v>81</v>
      </c>
      <c r="Q16" s="2"/>
      <c r="R16" s="1">
        <v>1</v>
      </c>
      <c r="S16" s="1" t="s">
        <v>33</v>
      </c>
      <c r="T16" s="1">
        <f>+VLOOKUP(S16,Atributos!$P$2:$W$5,3)*R16</f>
        <v>1</v>
      </c>
      <c r="U16" s="1">
        <f>+VLOOKUP(S16,Atributos!$P$2:$W$5,4)*R16</f>
        <v>1</v>
      </c>
      <c r="V16" s="1">
        <f>+VLOOKUP(S16,Atributos!$P$2:$W$5,5)*R16</f>
        <v>4</v>
      </c>
      <c r="W16" s="1">
        <f>+VLOOKUP(S16,Atributos!$P$2:$W$5,6)*R16</f>
        <v>4</v>
      </c>
      <c r="X16" s="1">
        <f>+VLOOKUP(S16,Atributos!$P$2:$W$5,7)*R16</f>
        <v>0</v>
      </c>
      <c r="Y16" s="1">
        <f>+VLOOKUP(S16,Atributos!$P$2:$W$5,8)*R16</f>
        <v>0</v>
      </c>
    </row>
    <row r="17" spans="1:29" ht="84" x14ac:dyDescent="0.25">
      <c r="A17" s="2" t="s">
        <v>57</v>
      </c>
      <c r="B17" s="2" t="s">
        <v>152</v>
      </c>
      <c r="C17" s="2" t="s">
        <v>225</v>
      </c>
      <c r="D17" s="4" t="s">
        <v>226</v>
      </c>
      <c r="E17" s="2" t="s">
        <v>227</v>
      </c>
      <c r="F17" s="2" t="s">
        <v>228</v>
      </c>
      <c r="G17" s="2" t="s">
        <v>229</v>
      </c>
      <c r="H17" s="2"/>
      <c r="I17" s="2" t="s">
        <v>62</v>
      </c>
      <c r="J17" s="2" t="s">
        <v>151</v>
      </c>
      <c r="K17" s="2"/>
      <c r="L17" s="4" t="s">
        <v>230</v>
      </c>
      <c r="M17" s="7">
        <v>1</v>
      </c>
      <c r="N17" s="2"/>
      <c r="O17" s="2" t="s">
        <v>231</v>
      </c>
      <c r="P17" s="2" t="s">
        <v>81</v>
      </c>
      <c r="Q17" s="2"/>
      <c r="R17" s="1">
        <v>1</v>
      </c>
      <c r="S17" s="1" t="s">
        <v>31</v>
      </c>
      <c r="T17" s="1">
        <f>+VLOOKUP(S17,Atributos!$P$2:$W$5,3)*R17</f>
        <v>1</v>
      </c>
      <c r="U17" s="1">
        <f>+VLOOKUP(S17,Atributos!$P$2:$W$5,4)*R17</f>
        <v>1</v>
      </c>
      <c r="V17" s="1">
        <f>+VLOOKUP(S17,Atributos!$P$2:$W$5,5)*R17</f>
        <v>8</v>
      </c>
      <c r="W17" s="1">
        <f>+VLOOKUP(S17,Atributos!$P$2:$W$5,6)*R17</f>
        <v>8</v>
      </c>
      <c r="X17" s="1">
        <f>+VLOOKUP(S17,Atributos!$P$2:$W$5,7)*R17</f>
        <v>8</v>
      </c>
      <c r="Y17" s="1">
        <f>+VLOOKUP(S17,Atributos!$P$2:$W$5,8)*R17</f>
        <v>0</v>
      </c>
    </row>
    <row r="18" spans="1:29" ht="108" x14ac:dyDescent="0.25">
      <c r="A18" s="2" t="s">
        <v>57</v>
      </c>
      <c r="B18" s="2" t="s">
        <v>152</v>
      </c>
      <c r="C18" s="2" t="s">
        <v>232</v>
      </c>
      <c r="D18" s="4" t="s">
        <v>233</v>
      </c>
      <c r="E18" s="2" t="s">
        <v>234</v>
      </c>
      <c r="F18" s="2" t="s">
        <v>235</v>
      </c>
      <c r="G18" s="2" t="s">
        <v>236</v>
      </c>
      <c r="H18" s="2"/>
      <c r="I18" s="2" t="s">
        <v>62</v>
      </c>
      <c r="J18" s="2" t="s">
        <v>237</v>
      </c>
      <c r="K18" s="2" t="s">
        <v>151</v>
      </c>
      <c r="L18" s="4" t="s">
        <v>230</v>
      </c>
      <c r="M18" s="7">
        <v>1</v>
      </c>
      <c r="N18" s="6" t="s">
        <v>238</v>
      </c>
      <c r="O18" s="2" t="s">
        <v>239</v>
      </c>
      <c r="P18" s="2" t="s">
        <v>81</v>
      </c>
      <c r="Q18" s="2"/>
      <c r="R18" s="1">
        <v>1</v>
      </c>
      <c r="S18" s="1" t="s">
        <v>31</v>
      </c>
      <c r="T18" s="1">
        <f>+VLOOKUP(S18,Atributos!$P$2:$W$5,3)*R18</f>
        <v>1</v>
      </c>
      <c r="U18" s="1">
        <f>+VLOOKUP(S18,Atributos!$P$2:$W$5,4)*R18</f>
        <v>1</v>
      </c>
      <c r="V18" s="1">
        <f>+VLOOKUP(S18,Atributos!$P$2:$W$5,5)*R18</f>
        <v>8</v>
      </c>
      <c r="W18" s="1">
        <f>+VLOOKUP(S18,Atributos!$P$2:$W$5,6)*R18</f>
        <v>8</v>
      </c>
      <c r="X18" s="1">
        <f>+VLOOKUP(S18,Atributos!$P$2:$W$5,7)*R18</f>
        <v>8</v>
      </c>
      <c r="Y18" s="1">
        <f>+VLOOKUP(S18,Atributos!$P$2:$W$5,8)*R18</f>
        <v>0</v>
      </c>
    </row>
    <row r="19" spans="1:29" ht="60" x14ac:dyDescent="0.25">
      <c r="A19" s="2" t="s">
        <v>57</v>
      </c>
      <c r="B19" s="2" t="s">
        <v>240</v>
      </c>
      <c r="C19" s="2" t="s">
        <v>241</v>
      </c>
      <c r="D19" s="4" t="s">
        <v>242</v>
      </c>
      <c r="E19" s="2" t="s">
        <v>243</v>
      </c>
      <c r="F19" s="2" t="s">
        <v>244</v>
      </c>
      <c r="G19" s="2" t="s">
        <v>245</v>
      </c>
      <c r="H19" s="14"/>
      <c r="I19" s="2" t="s">
        <v>62</v>
      </c>
      <c r="J19" s="2" t="s">
        <v>151</v>
      </c>
      <c r="K19" s="2"/>
      <c r="L19" s="4" t="s">
        <v>230</v>
      </c>
      <c r="M19" s="7">
        <v>1</v>
      </c>
      <c r="N19" s="2" t="s">
        <v>246</v>
      </c>
      <c r="O19" s="2" t="s">
        <v>247</v>
      </c>
      <c r="P19" s="2" t="s">
        <v>81</v>
      </c>
      <c r="Q19" s="2"/>
      <c r="R19" s="1">
        <v>1</v>
      </c>
      <c r="S19" s="1" t="s">
        <v>31</v>
      </c>
      <c r="T19" s="1">
        <f>+VLOOKUP(S19,Atributos!$P$2:$W$5,3)*R19</f>
        <v>1</v>
      </c>
      <c r="U19" s="1">
        <f>+VLOOKUP(S19,Atributos!$P$2:$W$5,4)*R19</f>
        <v>1</v>
      </c>
      <c r="V19" s="1">
        <f>+VLOOKUP(S19,Atributos!$P$2:$W$5,5)*R19</f>
        <v>8</v>
      </c>
      <c r="W19" s="1">
        <f>+VLOOKUP(S19,Atributos!$P$2:$W$5,6)*R19</f>
        <v>8</v>
      </c>
      <c r="X19" s="1">
        <f>+VLOOKUP(S19,Atributos!$P$2:$W$5,7)*R19</f>
        <v>8</v>
      </c>
      <c r="Y19" s="1">
        <f>+VLOOKUP(S19,Atributos!$P$2:$W$5,8)*R19</f>
        <v>0</v>
      </c>
    </row>
    <row r="20" spans="1:29" ht="84" x14ac:dyDescent="0.25">
      <c r="A20" s="2" t="s">
        <v>57</v>
      </c>
      <c r="B20" s="2" t="s">
        <v>248</v>
      </c>
      <c r="C20" s="2" t="s">
        <v>249</v>
      </c>
      <c r="D20" s="4" t="s">
        <v>250</v>
      </c>
      <c r="E20" s="2" t="s">
        <v>251</v>
      </c>
      <c r="F20" s="2" t="s">
        <v>252</v>
      </c>
      <c r="G20" s="2" t="s">
        <v>253</v>
      </c>
      <c r="H20" s="2"/>
      <c r="I20" s="2" t="s">
        <v>62</v>
      </c>
      <c r="J20" s="2" t="s">
        <v>151</v>
      </c>
      <c r="K20" s="2"/>
      <c r="L20" s="4"/>
      <c r="M20" s="7">
        <v>1</v>
      </c>
      <c r="N20" s="2"/>
      <c r="O20" s="2"/>
      <c r="P20" s="2" t="s">
        <v>81</v>
      </c>
      <c r="Q20" s="2"/>
      <c r="R20" s="1">
        <v>1</v>
      </c>
      <c r="S20" s="1" t="s">
        <v>41</v>
      </c>
      <c r="T20" s="1">
        <f>+VLOOKUP(S20,Atributos!$P$2:$W$5,3)*R20</f>
        <v>1</v>
      </c>
      <c r="U20" s="1">
        <f>+VLOOKUP(S20,Atributos!$P$2:$W$5,4)*R20</f>
        <v>2</v>
      </c>
      <c r="V20" s="1">
        <f>+VLOOKUP(S20,Atributos!$P$2:$W$5,5)*R20</f>
        <v>16</v>
      </c>
      <c r="W20" s="1">
        <f>+VLOOKUP(S20,Atributos!$P$2:$W$5,6)*R20</f>
        <v>32</v>
      </c>
      <c r="X20" s="1">
        <f>+VLOOKUP(S20,Atributos!$P$2:$W$5,7)*R20</f>
        <v>8</v>
      </c>
      <c r="Y20" s="1">
        <f>+VLOOKUP(S20,Atributos!$P$2:$W$5,8)*R20</f>
        <v>8</v>
      </c>
    </row>
    <row r="21" spans="1:29" ht="408" x14ac:dyDescent="0.25">
      <c r="A21" s="2" t="s">
        <v>57</v>
      </c>
      <c r="B21" s="2" t="s">
        <v>254</v>
      </c>
      <c r="C21" s="2" t="s">
        <v>255</v>
      </c>
      <c r="D21" s="4" t="s">
        <v>256</v>
      </c>
      <c r="E21" s="2" t="s">
        <v>257</v>
      </c>
      <c r="F21" s="2" t="s">
        <v>258</v>
      </c>
      <c r="G21" s="2" t="s">
        <v>259</v>
      </c>
      <c r="H21" s="2" t="s">
        <v>260</v>
      </c>
      <c r="I21" s="2" t="s">
        <v>62</v>
      </c>
      <c r="J21" s="2" t="s">
        <v>151</v>
      </c>
      <c r="K21" s="2"/>
      <c r="L21" s="4"/>
      <c r="M21" s="7">
        <v>1</v>
      </c>
      <c r="N21" s="2" t="s">
        <v>261</v>
      </c>
      <c r="O21" s="2"/>
      <c r="P21" s="2" t="s">
        <v>81</v>
      </c>
      <c r="Q21" s="2"/>
      <c r="R21" s="1">
        <v>1</v>
      </c>
      <c r="S21" s="1" t="s">
        <v>41</v>
      </c>
      <c r="T21" s="1">
        <f>+VLOOKUP(S21,Atributos!$P$2:$W$5,3)*R21</f>
        <v>1</v>
      </c>
      <c r="U21" s="1">
        <f>+VLOOKUP(S21,Atributos!$P$2:$W$5,4)*R21</f>
        <v>2</v>
      </c>
      <c r="V21" s="1">
        <f>+VLOOKUP(S21,Atributos!$P$2:$W$5,5)*R21</f>
        <v>16</v>
      </c>
      <c r="W21" s="1">
        <f>+VLOOKUP(S21,Atributos!$P$2:$W$5,6)*R21</f>
        <v>32</v>
      </c>
      <c r="X21" s="1">
        <f>+VLOOKUP(S21,Atributos!$P$2:$W$5,7)*R21</f>
        <v>8</v>
      </c>
      <c r="Y21" s="1">
        <f>+VLOOKUP(S21,Atributos!$P$2:$W$5,8)*R21</f>
        <v>8</v>
      </c>
    </row>
    <row r="22" spans="1:29" ht="396" x14ac:dyDescent="0.25">
      <c r="A22" s="2" t="s">
        <v>57</v>
      </c>
      <c r="B22" s="2" t="s">
        <v>254</v>
      </c>
      <c r="C22" s="2" t="s">
        <v>262</v>
      </c>
      <c r="D22" s="4" t="s">
        <v>256</v>
      </c>
      <c r="E22" s="2" t="s">
        <v>263</v>
      </c>
      <c r="F22" s="2" t="s">
        <v>264</v>
      </c>
      <c r="G22" s="2" t="s">
        <v>265</v>
      </c>
      <c r="H22" s="2" t="s">
        <v>260</v>
      </c>
      <c r="I22" s="2" t="s">
        <v>62</v>
      </c>
      <c r="J22" s="2" t="s">
        <v>151</v>
      </c>
      <c r="K22" s="2"/>
      <c r="L22" s="4"/>
      <c r="M22" s="7">
        <v>1</v>
      </c>
      <c r="N22" s="6" t="s">
        <v>266</v>
      </c>
      <c r="O22" s="2"/>
      <c r="P22" s="2" t="s">
        <v>81</v>
      </c>
      <c r="Q22" s="2"/>
      <c r="R22" s="1">
        <v>1</v>
      </c>
      <c r="S22" s="1" t="s">
        <v>41</v>
      </c>
      <c r="T22" s="1">
        <f>+VLOOKUP(S22,Atributos!$P$2:$W$5,3)*R22</f>
        <v>1</v>
      </c>
      <c r="U22" s="1">
        <f>+VLOOKUP(S22,Atributos!$P$2:$W$5,4)*R22</f>
        <v>2</v>
      </c>
      <c r="V22" s="1">
        <f>+VLOOKUP(S22,Atributos!$P$2:$W$5,5)*R22</f>
        <v>16</v>
      </c>
      <c r="W22" s="1">
        <f>+VLOOKUP(S22,Atributos!$P$2:$W$5,6)*R22</f>
        <v>32</v>
      </c>
      <c r="X22" s="1">
        <f>+VLOOKUP(S22,Atributos!$P$2:$W$5,7)*R22</f>
        <v>8</v>
      </c>
      <c r="Y22" s="1">
        <f>+VLOOKUP(S22,Atributos!$P$2:$W$5,8)*R22</f>
        <v>8</v>
      </c>
    </row>
    <row r="23" spans="1:29" ht="168" x14ac:dyDescent="0.25">
      <c r="A23" s="2" t="s">
        <v>57</v>
      </c>
      <c r="B23" s="2" t="s">
        <v>248</v>
      </c>
      <c r="C23" s="2" t="s">
        <v>267</v>
      </c>
      <c r="D23" s="4" t="s">
        <v>268</v>
      </c>
      <c r="E23" s="2" t="s">
        <v>269</v>
      </c>
      <c r="F23" s="2" t="s">
        <v>270</v>
      </c>
      <c r="G23" s="2" t="s">
        <v>271</v>
      </c>
      <c r="H23" s="2"/>
      <c r="I23" s="2" t="s">
        <v>62</v>
      </c>
      <c r="J23" s="2" t="s">
        <v>151</v>
      </c>
      <c r="K23" s="2"/>
      <c r="L23" s="4"/>
      <c r="M23" s="7">
        <v>1</v>
      </c>
      <c r="N23" s="2" t="s">
        <v>272</v>
      </c>
      <c r="O23" s="2"/>
      <c r="P23" s="2" t="s">
        <v>81</v>
      </c>
      <c r="Q23" s="2"/>
      <c r="R23" s="1">
        <v>1</v>
      </c>
      <c r="S23" s="1" t="s">
        <v>41</v>
      </c>
      <c r="T23" s="1">
        <f>+VLOOKUP(S23,Atributos!$P$2:$W$5,3)*R23</f>
        <v>1</v>
      </c>
      <c r="U23" s="1">
        <f>+VLOOKUP(S23,Atributos!$P$2:$W$5,4)*R23</f>
        <v>2</v>
      </c>
      <c r="V23" s="1">
        <f>+VLOOKUP(S23,Atributos!$P$2:$W$5,5)*R23</f>
        <v>16</v>
      </c>
      <c r="W23" s="1">
        <f>+VLOOKUP(S23,Atributos!$P$2:$W$5,6)*R23</f>
        <v>32</v>
      </c>
      <c r="X23" s="1">
        <f>+VLOOKUP(S23,Atributos!$P$2:$W$5,7)*R23</f>
        <v>8</v>
      </c>
      <c r="Y23" s="1">
        <f>+VLOOKUP(S23,Atributos!$P$2:$W$5,8)*R23</f>
        <v>8</v>
      </c>
    </row>
    <row r="24" spans="1:29" ht="396" x14ac:dyDescent="0.25">
      <c r="A24" s="2" t="s">
        <v>57</v>
      </c>
      <c r="B24" s="2" t="s">
        <v>254</v>
      </c>
      <c r="C24" s="2" t="s">
        <v>273</v>
      </c>
      <c r="D24" s="4" t="s">
        <v>274</v>
      </c>
      <c r="E24" s="2" t="s">
        <v>275</v>
      </c>
      <c r="F24" s="2" t="s">
        <v>276</v>
      </c>
      <c r="G24" s="2" t="s">
        <v>277</v>
      </c>
      <c r="H24" s="2" t="s">
        <v>260</v>
      </c>
      <c r="I24" s="2" t="s">
        <v>62</v>
      </c>
      <c r="J24" s="2" t="s">
        <v>151</v>
      </c>
      <c r="K24" s="2"/>
      <c r="L24" s="4"/>
      <c r="M24" s="7">
        <v>1</v>
      </c>
      <c r="N24" s="6" t="s">
        <v>266</v>
      </c>
      <c r="O24" s="2"/>
      <c r="P24" s="2" t="s">
        <v>81</v>
      </c>
      <c r="Q24" s="2"/>
      <c r="R24" s="1">
        <v>1</v>
      </c>
      <c r="S24" s="1" t="s">
        <v>41</v>
      </c>
      <c r="T24" s="1">
        <f>+VLOOKUP(S24,Atributos!$P$2:$W$5,3)*R24</f>
        <v>1</v>
      </c>
      <c r="U24" s="1">
        <f>+VLOOKUP(S24,Atributos!$P$2:$W$5,4)*R24</f>
        <v>2</v>
      </c>
      <c r="V24" s="1">
        <f>+VLOOKUP(S24,Atributos!$P$2:$W$5,5)*R24</f>
        <v>16</v>
      </c>
      <c r="W24" s="1">
        <f>+VLOOKUP(S24,Atributos!$P$2:$W$5,6)*R24</f>
        <v>32</v>
      </c>
      <c r="X24" s="1">
        <f>+VLOOKUP(S24,Atributos!$P$2:$W$5,7)*R24</f>
        <v>8</v>
      </c>
      <c r="Y24" s="1">
        <f>+VLOOKUP(S24,Atributos!$P$2:$W$5,8)*R24</f>
        <v>8</v>
      </c>
    </row>
    <row r="25" spans="1:29" ht="60" x14ac:dyDescent="0.25">
      <c r="A25" s="2" t="s">
        <v>57</v>
      </c>
      <c r="B25" s="2" t="s">
        <v>278</v>
      </c>
      <c r="C25" s="2" t="s">
        <v>279</v>
      </c>
      <c r="D25" s="4" t="s">
        <v>280</v>
      </c>
      <c r="E25" s="2" t="s">
        <v>281</v>
      </c>
      <c r="F25" s="2" t="s">
        <v>282</v>
      </c>
      <c r="G25" s="3" t="s">
        <v>283</v>
      </c>
      <c r="H25" s="2"/>
      <c r="I25" s="2" t="s">
        <v>62</v>
      </c>
      <c r="J25" s="2" t="s">
        <v>151</v>
      </c>
      <c r="K25" s="2"/>
      <c r="L25" s="4"/>
      <c r="M25" s="2">
        <v>1</v>
      </c>
      <c r="N25" s="2"/>
      <c r="O25" s="2"/>
      <c r="P25" s="2" t="s">
        <v>81</v>
      </c>
      <c r="Q25" s="2"/>
      <c r="R25" s="1">
        <v>1</v>
      </c>
      <c r="S25" s="1" t="s">
        <v>41</v>
      </c>
      <c r="T25" s="1">
        <f>+VLOOKUP(S25,Atributos!$P$2:$W$5,3)*R25</f>
        <v>1</v>
      </c>
      <c r="U25" s="1">
        <f>+VLOOKUP(S25,Atributos!$P$2:$W$5,4)*R25</f>
        <v>2</v>
      </c>
      <c r="V25" s="1">
        <f>+VLOOKUP(S25,Atributos!$P$2:$W$5,5)*R25</f>
        <v>16</v>
      </c>
      <c r="W25" s="1">
        <f>+VLOOKUP(S25,Atributos!$P$2:$W$5,6)*R25</f>
        <v>32</v>
      </c>
      <c r="X25" s="1">
        <f>+VLOOKUP(S25,Atributos!$P$2:$W$5,7)*R25</f>
        <v>8</v>
      </c>
      <c r="Y25" s="1">
        <f>+VLOOKUP(S25,Atributos!$P$2:$W$5,8)*R25</f>
        <v>8</v>
      </c>
    </row>
    <row r="26" spans="1:29" ht="168" x14ac:dyDescent="0.25">
      <c r="A26" s="2" t="s">
        <v>57</v>
      </c>
      <c r="B26" s="2" t="s">
        <v>186</v>
      </c>
      <c r="C26" s="2" t="s">
        <v>284</v>
      </c>
      <c r="D26" s="4" t="s">
        <v>285</v>
      </c>
      <c r="E26" s="2" t="s">
        <v>286</v>
      </c>
      <c r="F26" s="2" t="s">
        <v>287</v>
      </c>
      <c r="G26" s="2" t="s">
        <v>288</v>
      </c>
      <c r="H26" s="2"/>
      <c r="I26" s="2" t="s">
        <v>62</v>
      </c>
      <c r="J26" s="2" t="s">
        <v>237</v>
      </c>
      <c r="K26" s="2" t="s">
        <v>151</v>
      </c>
      <c r="L26" s="4" t="s">
        <v>230</v>
      </c>
      <c r="M26" s="2">
        <v>1</v>
      </c>
      <c r="N26" s="2"/>
      <c r="O26" s="2"/>
      <c r="P26" s="2" t="s">
        <v>81</v>
      </c>
      <c r="Q26" s="2"/>
      <c r="R26" s="1">
        <v>1</v>
      </c>
      <c r="S26" s="1" t="s">
        <v>41</v>
      </c>
      <c r="T26" s="1">
        <f>+VLOOKUP(S26,Atributos!$P$2:$W$5,3)*R26</f>
        <v>1</v>
      </c>
      <c r="U26" s="1">
        <f>+VLOOKUP(S26,Atributos!$P$2:$W$5,4)*R26</f>
        <v>2</v>
      </c>
      <c r="V26" s="1">
        <f>+VLOOKUP(S26,Atributos!$P$2:$W$5,5)*R26</f>
        <v>16</v>
      </c>
      <c r="W26" s="1">
        <f>+VLOOKUP(S26,Atributos!$P$2:$W$5,6)*R26</f>
        <v>32</v>
      </c>
      <c r="X26" s="1">
        <f>+VLOOKUP(S26,Atributos!$P$2:$W$5,7)*R26</f>
        <v>8</v>
      </c>
      <c r="Y26" s="1">
        <f>+VLOOKUP(S26,Atributos!$P$2:$W$5,8)*R26</f>
        <v>8</v>
      </c>
    </row>
    <row r="27" spans="1:29" ht="264" x14ac:dyDescent="0.25">
      <c r="A27" s="2" t="s">
        <v>57</v>
      </c>
      <c r="B27" s="2" t="s">
        <v>186</v>
      </c>
      <c r="C27" s="2" t="s">
        <v>289</v>
      </c>
      <c r="D27" s="4" t="s">
        <v>226</v>
      </c>
      <c r="E27" s="2" t="s">
        <v>290</v>
      </c>
      <c r="F27" s="2" t="s">
        <v>291</v>
      </c>
      <c r="G27" s="2" t="s">
        <v>292</v>
      </c>
      <c r="H27" s="2"/>
      <c r="I27" s="2" t="s">
        <v>62</v>
      </c>
      <c r="J27" s="2" t="s">
        <v>151</v>
      </c>
      <c r="K27" s="2"/>
      <c r="L27" s="4"/>
      <c r="M27" s="2">
        <v>1</v>
      </c>
      <c r="N27" s="2"/>
      <c r="O27" s="2"/>
      <c r="P27" s="2" t="s">
        <v>81</v>
      </c>
      <c r="Q27" s="2"/>
      <c r="R27" s="1">
        <v>1</v>
      </c>
      <c r="S27" s="1" t="s">
        <v>41</v>
      </c>
      <c r="T27" s="1">
        <f>+VLOOKUP(S27,Atributos!$P$2:$W$5,3)*R27</f>
        <v>1</v>
      </c>
      <c r="U27" s="1">
        <f>+VLOOKUP(S27,Atributos!$P$2:$W$5,4)*R27</f>
        <v>2</v>
      </c>
      <c r="V27" s="1">
        <f>+VLOOKUP(S27,Atributos!$P$2:$W$5,5)*R27</f>
        <v>16</v>
      </c>
      <c r="W27" s="1">
        <f>+VLOOKUP(S27,Atributos!$P$2:$W$5,6)*R27</f>
        <v>32</v>
      </c>
      <c r="X27" s="1">
        <f>+VLOOKUP(S27,Atributos!$P$2:$W$5,7)*R27</f>
        <v>8</v>
      </c>
      <c r="Y27" s="1">
        <f>+VLOOKUP(S27,Atributos!$P$2:$W$5,8)*R27</f>
        <v>8</v>
      </c>
      <c r="AC27" s="22"/>
    </row>
    <row r="28" spans="1:29" ht="132" x14ac:dyDescent="0.25">
      <c r="A28" s="2" t="s">
        <v>57</v>
      </c>
      <c r="B28" s="2" t="s">
        <v>293</v>
      </c>
      <c r="C28" s="2" t="s">
        <v>294</v>
      </c>
      <c r="D28" s="4" t="s">
        <v>295</v>
      </c>
      <c r="E28" s="2" t="s">
        <v>296</v>
      </c>
      <c r="F28" s="2" t="s">
        <v>297</v>
      </c>
      <c r="G28" s="2" t="s">
        <v>298</v>
      </c>
      <c r="H28" s="2"/>
      <c r="I28" s="2" t="s">
        <v>78</v>
      </c>
      <c r="J28" s="2" t="s">
        <v>299</v>
      </c>
      <c r="K28" s="2" t="s">
        <v>151</v>
      </c>
      <c r="L28" s="4" t="s">
        <v>300</v>
      </c>
      <c r="M28" s="3">
        <v>1</v>
      </c>
      <c r="N28" s="2"/>
      <c r="O28" s="2"/>
      <c r="P28" s="2" t="s">
        <v>81</v>
      </c>
      <c r="Q28" s="2"/>
      <c r="R28" s="1">
        <v>1</v>
      </c>
      <c r="S28" s="1" t="s">
        <v>41</v>
      </c>
      <c r="T28" s="1">
        <f>+VLOOKUP(S28,Atributos!$P$2:$W$5,3)*R28</f>
        <v>1</v>
      </c>
      <c r="U28" s="1">
        <f>+VLOOKUP(S28,Atributos!$P$2:$W$5,4)*R28</f>
        <v>2</v>
      </c>
      <c r="V28" s="1">
        <f>+VLOOKUP(S28,Atributos!$P$2:$W$5,5)*R28</f>
        <v>16</v>
      </c>
      <c r="W28" s="1">
        <f>+VLOOKUP(S28,Atributos!$P$2:$W$5,6)*R28</f>
        <v>32</v>
      </c>
      <c r="X28" s="1">
        <f>+VLOOKUP(S28,Atributos!$P$2:$W$5,7)*R28</f>
        <v>8</v>
      </c>
      <c r="Y28" s="1">
        <f>+VLOOKUP(S28,Atributos!$P$2:$W$5,8)*R28</f>
        <v>8</v>
      </c>
      <c r="AA28" s="21"/>
      <c r="AC28" s="22"/>
    </row>
    <row r="29" spans="1:29" ht="60" x14ac:dyDescent="0.25">
      <c r="A29" s="2" t="s">
        <v>64</v>
      </c>
      <c r="B29" s="2" t="s">
        <v>33</v>
      </c>
      <c r="C29" s="3" t="s">
        <v>301</v>
      </c>
      <c r="D29" s="4"/>
      <c r="E29" s="2" t="s">
        <v>302</v>
      </c>
      <c r="F29" s="2" t="s">
        <v>303</v>
      </c>
      <c r="G29" s="2"/>
      <c r="H29" s="2"/>
      <c r="I29" s="2" t="s">
        <v>69</v>
      </c>
      <c r="J29" s="2" t="s">
        <v>151</v>
      </c>
      <c r="K29" s="2"/>
      <c r="L29" s="4"/>
      <c r="M29" s="2">
        <v>1</v>
      </c>
      <c r="N29" s="2"/>
      <c r="O29" s="2"/>
      <c r="P29" s="2" t="s">
        <v>81</v>
      </c>
      <c r="Q29" s="2"/>
      <c r="R29" s="1">
        <v>1</v>
      </c>
      <c r="S29" s="1" t="s">
        <v>33</v>
      </c>
      <c r="T29" s="1">
        <f>+VLOOKUP(S29,Atributos!$P$2:$W$5,3)*R29</f>
        <v>1</v>
      </c>
      <c r="U29" s="1">
        <f>+VLOOKUP(S29,Atributos!$P$2:$W$5,4)*R29</f>
        <v>1</v>
      </c>
      <c r="V29" s="1">
        <f>+VLOOKUP(S29,Atributos!$P$2:$W$5,5)*R29</f>
        <v>4</v>
      </c>
      <c r="W29" s="1">
        <f>+VLOOKUP(S29,Atributos!$P$2:$W$5,6)*R29</f>
        <v>4</v>
      </c>
      <c r="X29" s="1">
        <f>+VLOOKUP(S29,Atributos!$P$2:$W$5,7)*R29</f>
        <v>0</v>
      </c>
      <c r="Y29" s="1">
        <f>+VLOOKUP(S29,Atributos!$P$2:$W$5,8)*R29</f>
        <v>0</v>
      </c>
    </row>
    <row r="30" spans="1:29" ht="216" x14ac:dyDescent="0.25">
      <c r="A30" s="2" t="s">
        <v>64</v>
      </c>
      <c r="B30" s="2" t="s">
        <v>152</v>
      </c>
      <c r="C30" s="3" t="s">
        <v>304</v>
      </c>
      <c r="D30" s="4"/>
      <c r="E30" s="2" t="s">
        <v>305</v>
      </c>
      <c r="F30" s="2" t="s">
        <v>306</v>
      </c>
      <c r="G30" s="2" t="s">
        <v>307</v>
      </c>
      <c r="H30" s="2" t="s">
        <v>308</v>
      </c>
      <c r="I30" s="2" t="s">
        <v>69</v>
      </c>
      <c r="J30" s="2"/>
      <c r="K30" s="2" t="s">
        <v>151</v>
      </c>
      <c r="L30" s="5" t="s">
        <v>309</v>
      </c>
      <c r="M30" s="2">
        <v>1</v>
      </c>
      <c r="N30" s="2" t="s">
        <v>310</v>
      </c>
      <c r="O30" s="2" t="s">
        <v>311</v>
      </c>
      <c r="P30" s="2" t="s">
        <v>81</v>
      </c>
      <c r="Q30" s="2"/>
      <c r="R30" s="1">
        <v>1</v>
      </c>
      <c r="S30" s="1" t="s">
        <v>31</v>
      </c>
      <c r="T30" s="1">
        <f>+VLOOKUP(S30,Atributos!$P$2:$W$5,3)*R30</f>
        <v>1</v>
      </c>
      <c r="U30" s="1">
        <f>+VLOOKUP(S30,Atributos!$P$2:$W$5,4)*R30</f>
        <v>1</v>
      </c>
      <c r="V30" s="1">
        <f>+VLOOKUP(S30,Atributos!$P$2:$W$5,5)*R30</f>
        <v>8</v>
      </c>
      <c r="W30" s="1">
        <f>+VLOOKUP(S30,Atributos!$P$2:$W$5,6)*R30</f>
        <v>8</v>
      </c>
      <c r="X30" s="1">
        <f>+VLOOKUP(S30,Atributos!$P$2:$W$5,7)*R30</f>
        <v>8</v>
      </c>
      <c r="Y30" s="1">
        <f>+VLOOKUP(S30,Atributos!$P$2:$W$5,8)*R30</f>
        <v>0</v>
      </c>
    </row>
    <row r="31" spans="1:29" ht="156" x14ac:dyDescent="0.25">
      <c r="A31" s="2" t="s">
        <v>64</v>
      </c>
      <c r="B31" s="2" t="s">
        <v>152</v>
      </c>
      <c r="C31" s="3" t="s">
        <v>312</v>
      </c>
      <c r="D31" s="4"/>
      <c r="E31" s="2" t="s">
        <v>313</v>
      </c>
      <c r="F31" s="3" t="s">
        <v>314</v>
      </c>
      <c r="G31" s="3" t="s">
        <v>315</v>
      </c>
      <c r="H31" s="2" t="s">
        <v>316</v>
      </c>
      <c r="I31" s="2" t="s">
        <v>69</v>
      </c>
      <c r="J31" s="2" t="s">
        <v>317</v>
      </c>
      <c r="K31" s="2" t="s">
        <v>151</v>
      </c>
      <c r="L31" s="4"/>
      <c r="M31" s="2">
        <v>1</v>
      </c>
      <c r="N31" s="2"/>
      <c r="O31" s="2" t="s">
        <v>318</v>
      </c>
      <c r="P31" s="2" t="s">
        <v>81</v>
      </c>
      <c r="Q31" s="2"/>
      <c r="R31" s="1">
        <v>1</v>
      </c>
      <c r="S31" s="1" t="s">
        <v>31</v>
      </c>
      <c r="T31" s="1">
        <f>+VLOOKUP(S31,Atributos!$P$2:$W$5,3)*R31</f>
        <v>1</v>
      </c>
      <c r="U31" s="1">
        <f>+VLOOKUP(S31,Atributos!$P$2:$W$5,4)*R31</f>
        <v>1</v>
      </c>
      <c r="V31" s="1">
        <f>+VLOOKUP(S31,Atributos!$P$2:$W$5,5)*R31</f>
        <v>8</v>
      </c>
      <c r="W31" s="1">
        <f>+VLOOKUP(S31,Atributos!$P$2:$W$5,6)*R31</f>
        <v>8</v>
      </c>
      <c r="X31" s="1">
        <f>+VLOOKUP(S31,Atributos!$P$2:$W$5,7)*R31</f>
        <v>8</v>
      </c>
      <c r="Y31" s="1">
        <f>+VLOOKUP(S31,Atributos!$P$2:$W$5,8)*R31</f>
        <v>0</v>
      </c>
    </row>
    <row r="32" spans="1:29" ht="204" x14ac:dyDescent="0.25">
      <c r="A32" s="2" t="s">
        <v>64</v>
      </c>
      <c r="B32" s="2" t="s">
        <v>319</v>
      </c>
      <c r="C32" s="3" t="s">
        <v>320</v>
      </c>
      <c r="D32" s="4" t="s">
        <v>321</v>
      </c>
      <c r="E32" s="2" t="s">
        <v>322</v>
      </c>
      <c r="F32" s="2" t="s">
        <v>323</v>
      </c>
      <c r="G32" s="2" t="s">
        <v>324</v>
      </c>
      <c r="H32" s="8" t="s">
        <v>325</v>
      </c>
      <c r="I32" s="2" t="s">
        <v>69</v>
      </c>
      <c r="J32" s="2" t="s">
        <v>326</v>
      </c>
      <c r="K32" s="2" t="s">
        <v>151</v>
      </c>
      <c r="L32" s="6" t="s">
        <v>327</v>
      </c>
      <c r="M32" s="2">
        <v>1</v>
      </c>
      <c r="N32" s="2"/>
      <c r="O32" s="2" t="s">
        <v>328</v>
      </c>
      <c r="P32" s="2" t="s">
        <v>81</v>
      </c>
      <c r="Q32" s="2" t="s">
        <v>329</v>
      </c>
      <c r="R32" s="1">
        <v>1</v>
      </c>
      <c r="S32" s="1" t="s">
        <v>41</v>
      </c>
      <c r="T32" s="1">
        <f>+VLOOKUP(S32,Atributos!$P$2:$W$5,3)*R32</f>
        <v>1</v>
      </c>
      <c r="U32" s="1">
        <f>+VLOOKUP(S32,Atributos!$P$2:$W$5,4)*R32</f>
        <v>2</v>
      </c>
      <c r="V32" s="1">
        <f>+VLOOKUP(S32,Atributos!$P$2:$W$5,5)*R32</f>
        <v>16</v>
      </c>
      <c r="W32" s="1">
        <f>+VLOOKUP(S32,Atributos!$P$2:$W$5,6)*R32</f>
        <v>32</v>
      </c>
      <c r="X32" s="1">
        <f>+VLOOKUP(S32,Atributos!$P$2:$W$5,7)*R32</f>
        <v>8</v>
      </c>
      <c r="Y32" s="1">
        <f>+VLOOKUP(S32,Atributos!$P$2:$W$5,8)*R32</f>
        <v>8</v>
      </c>
    </row>
    <row r="33" spans="1:25" ht="204" x14ac:dyDescent="0.25">
      <c r="A33" s="2" t="s">
        <v>64</v>
      </c>
      <c r="B33" s="2" t="s">
        <v>319</v>
      </c>
      <c r="C33" s="3" t="s">
        <v>330</v>
      </c>
      <c r="D33" s="4" t="s">
        <v>331</v>
      </c>
      <c r="E33" s="2" t="s">
        <v>332</v>
      </c>
      <c r="F33" s="2" t="s">
        <v>333</v>
      </c>
      <c r="G33" s="2" t="s">
        <v>324</v>
      </c>
      <c r="H33" s="2" t="s">
        <v>325</v>
      </c>
      <c r="I33" s="2" t="s">
        <v>69</v>
      </c>
      <c r="J33" s="2" t="s">
        <v>326</v>
      </c>
      <c r="K33" s="2" t="s">
        <v>151</v>
      </c>
      <c r="L33" s="6" t="s">
        <v>327</v>
      </c>
      <c r="M33" s="2">
        <v>1</v>
      </c>
      <c r="N33" s="2"/>
      <c r="O33" s="2" t="s">
        <v>328</v>
      </c>
      <c r="P33" s="2" t="s">
        <v>81</v>
      </c>
      <c r="Q33" s="2" t="s">
        <v>329</v>
      </c>
      <c r="R33" s="1">
        <v>1</v>
      </c>
      <c r="S33" s="1" t="s">
        <v>41</v>
      </c>
      <c r="T33" s="1">
        <f>+VLOOKUP(S33,Atributos!$P$2:$W$5,3)*R33</f>
        <v>1</v>
      </c>
      <c r="U33" s="1">
        <f>+VLOOKUP(S33,Atributos!$P$2:$W$5,4)*R33</f>
        <v>2</v>
      </c>
      <c r="V33" s="1">
        <f>+VLOOKUP(S33,Atributos!$P$2:$W$5,5)*R33</f>
        <v>16</v>
      </c>
      <c r="W33" s="1">
        <f>+VLOOKUP(S33,Atributos!$P$2:$W$5,6)*R33</f>
        <v>32</v>
      </c>
      <c r="X33" s="1">
        <f>+VLOOKUP(S33,Atributos!$P$2:$W$5,7)*R33</f>
        <v>8</v>
      </c>
      <c r="Y33" s="1">
        <f>+VLOOKUP(S33,Atributos!$P$2:$W$5,8)*R33</f>
        <v>8</v>
      </c>
    </row>
    <row r="34" spans="1:25" ht="348" x14ac:dyDescent="0.25">
      <c r="A34" s="2" t="s">
        <v>64</v>
      </c>
      <c r="B34" s="2" t="s">
        <v>319</v>
      </c>
      <c r="C34" s="3" t="s">
        <v>334</v>
      </c>
      <c r="D34" s="4" t="s">
        <v>335</v>
      </c>
      <c r="E34" s="2" t="s">
        <v>336</v>
      </c>
      <c r="F34" s="2" t="s">
        <v>337</v>
      </c>
      <c r="G34" s="2" t="s">
        <v>338</v>
      </c>
      <c r="H34" s="2"/>
      <c r="I34" s="2" t="s">
        <v>69</v>
      </c>
      <c r="J34" s="2" t="s">
        <v>326</v>
      </c>
      <c r="K34" s="2" t="s">
        <v>151</v>
      </c>
      <c r="L34" s="6" t="s">
        <v>339</v>
      </c>
      <c r="M34" s="2">
        <v>1</v>
      </c>
      <c r="N34" s="2"/>
      <c r="O34" s="2"/>
      <c r="P34" s="2" t="s">
        <v>81</v>
      </c>
      <c r="Q34" s="2"/>
      <c r="R34" s="1">
        <v>1</v>
      </c>
      <c r="S34" s="1" t="s">
        <v>41</v>
      </c>
      <c r="T34" s="1">
        <f>+VLOOKUP(S34,Atributos!$P$2:$W$5,3)*R34</f>
        <v>1</v>
      </c>
      <c r="U34" s="1">
        <f>+VLOOKUP(S34,Atributos!$P$2:$W$5,4)*R34</f>
        <v>2</v>
      </c>
      <c r="V34" s="1">
        <f>+VLOOKUP(S34,Atributos!$P$2:$W$5,5)*R34</f>
        <v>16</v>
      </c>
      <c r="W34" s="1">
        <f>+VLOOKUP(S34,Atributos!$P$2:$W$5,6)*R34</f>
        <v>32</v>
      </c>
      <c r="X34" s="1">
        <f>+VLOOKUP(S34,Atributos!$P$2:$W$5,7)*R34</f>
        <v>8</v>
      </c>
      <c r="Y34" s="1">
        <f>+VLOOKUP(S34,Atributos!$P$2:$W$5,8)*R34</f>
        <v>8</v>
      </c>
    </row>
    <row r="35" spans="1:25" ht="204" x14ac:dyDescent="0.2">
      <c r="A35" s="2" t="s">
        <v>64</v>
      </c>
      <c r="B35" s="2" t="s">
        <v>340</v>
      </c>
      <c r="C35" s="3" t="s">
        <v>341</v>
      </c>
      <c r="D35" s="9" t="s">
        <v>342</v>
      </c>
      <c r="E35" s="2" t="s">
        <v>343</v>
      </c>
      <c r="F35" s="2" t="s">
        <v>344</v>
      </c>
      <c r="G35" s="2" t="s">
        <v>345</v>
      </c>
      <c r="H35" s="2" t="s">
        <v>346</v>
      </c>
      <c r="I35" s="2" t="s">
        <v>69</v>
      </c>
      <c r="J35" s="2" t="s">
        <v>326</v>
      </c>
      <c r="K35" s="2" t="s">
        <v>151</v>
      </c>
      <c r="L35" s="6" t="s">
        <v>327</v>
      </c>
      <c r="M35" s="2">
        <v>1</v>
      </c>
      <c r="N35" s="2"/>
      <c r="O35" s="2"/>
      <c r="P35" s="2" t="s">
        <v>81</v>
      </c>
      <c r="Q35" s="2"/>
      <c r="R35" s="1">
        <v>1</v>
      </c>
      <c r="S35" s="1" t="s">
        <v>41</v>
      </c>
      <c r="T35" s="1">
        <f>+VLOOKUP(S35,Atributos!$P$2:$W$5,3)*R35</f>
        <v>1</v>
      </c>
      <c r="U35" s="1">
        <f>+VLOOKUP(S35,Atributos!$P$2:$W$5,4)*R35</f>
        <v>2</v>
      </c>
      <c r="V35" s="1">
        <f>+VLOOKUP(S35,Atributos!$P$2:$W$5,5)*R35</f>
        <v>16</v>
      </c>
      <c r="W35" s="1">
        <f>+VLOOKUP(S35,Atributos!$P$2:$W$5,6)*R35</f>
        <v>32</v>
      </c>
      <c r="X35" s="1">
        <f>+VLOOKUP(S35,Atributos!$P$2:$W$5,7)*R35</f>
        <v>8</v>
      </c>
      <c r="Y35" s="1">
        <f>+VLOOKUP(S35,Atributos!$P$2:$W$5,8)*R35</f>
        <v>8</v>
      </c>
    </row>
    <row r="36" spans="1:25" ht="228" x14ac:dyDescent="0.25">
      <c r="A36" s="2" t="s">
        <v>64</v>
      </c>
      <c r="B36" s="2" t="s">
        <v>319</v>
      </c>
      <c r="C36" s="3" t="s">
        <v>347</v>
      </c>
      <c r="D36" s="4" t="s">
        <v>348</v>
      </c>
      <c r="E36" s="2" t="s">
        <v>349</v>
      </c>
      <c r="F36" s="2" t="s">
        <v>350</v>
      </c>
      <c r="G36" s="10" t="s">
        <v>351</v>
      </c>
      <c r="H36" s="2"/>
      <c r="I36" s="2" t="s">
        <v>69</v>
      </c>
      <c r="J36" s="2" t="s">
        <v>326</v>
      </c>
      <c r="K36" s="2" t="s">
        <v>151</v>
      </c>
      <c r="L36" s="4"/>
      <c r="M36" s="2">
        <v>1</v>
      </c>
      <c r="N36" s="2"/>
      <c r="O36" s="2"/>
      <c r="P36" s="2" t="s">
        <v>81</v>
      </c>
      <c r="Q36" s="2"/>
      <c r="R36" s="1">
        <v>1</v>
      </c>
      <c r="S36" s="1" t="s">
        <v>41</v>
      </c>
      <c r="T36" s="1">
        <f>+VLOOKUP(S36,Atributos!$P$2:$W$5,3)*R36</f>
        <v>1</v>
      </c>
      <c r="U36" s="1">
        <f>+VLOOKUP(S36,Atributos!$P$2:$W$5,4)*R36</f>
        <v>2</v>
      </c>
      <c r="V36" s="1">
        <f>+VLOOKUP(S36,Atributos!$P$2:$W$5,5)*R36</f>
        <v>16</v>
      </c>
      <c r="W36" s="1">
        <f>+VLOOKUP(S36,Atributos!$P$2:$W$5,6)*R36</f>
        <v>32</v>
      </c>
      <c r="X36" s="1">
        <f>+VLOOKUP(S36,Atributos!$P$2:$W$5,7)*R36</f>
        <v>8</v>
      </c>
      <c r="Y36" s="1">
        <f>+VLOOKUP(S36,Atributos!$P$2:$W$5,8)*R36</f>
        <v>8</v>
      </c>
    </row>
    <row r="37" spans="1:25" ht="228" x14ac:dyDescent="0.25">
      <c r="A37" s="2" t="s">
        <v>64</v>
      </c>
      <c r="B37" s="2" t="s">
        <v>319</v>
      </c>
      <c r="C37" s="3" t="s">
        <v>352</v>
      </c>
      <c r="D37" s="4" t="s">
        <v>353</v>
      </c>
      <c r="E37" s="2" t="s">
        <v>354</v>
      </c>
      <c r="F37" s="2" t="s">
        <v>355</v>
      </c>
      <c r="G37" s="10" t="s">
        <v>356</v>
      </c>
      <c r="H37" s="2" t="s">
        <v>357</v>
      </c>
      <c r="I37" s="2" t="s">
        <v>69</v>
      </c>
      <c r="J37" s="2" t="s">
        <v>326</v>
      </c>
      <c r="K37" s="2" t="s">
        <v>151</v>
      </c>
      <c r="L37" s="4"/>
      <c r="M37" s="2">
        <v>1</v>
      </c>
      <c r="N37" s="2"/>
      <c r="O37" s="2"/>
      <c r="P37" s="2" t="s">
        <v>81</v>
      </c>
      <c r="Q37" s="2"/>
      <c r="R37" s="1">
        <v>1</v>
      </c>
      <c r="S37" s="1" t="s">
        <v>41</v>
      </c>
      <c r="T37" s="1">
        <f>+VLOOKUP(S37,Atributos!$P$2:$W$5,3)*R37</f>
        <v>1</v>
      </c>
      <c r="U37" s="1">
        <f>+VLOOKUP(S37,Atributos!$P$2:$W$5,4)*R37</f>
        <v>2</v>
      </c>
      <c r="V37" s="1">
        <f>+VLOOKUP(S37,Atributos!$P$2:$W$5,5)*R37</f>
        <v>16</v>
      </c>
      <c r="W37" s="1">
        <f>+VLOOKUP(S37,Atributos!$P$2:$W$5,6)*R37</f>
        <v>32</v>
      </c>
      <c r="X37" s="1">
        <f>+VLOOKUP(S37,Atributos!$P$2:$W$5,7)*R37</f>
        <v>8</v>
      </c>
      <c r="Y37" s="1">
        <f>+VLOOKUP(S37,Atributos!$P$2:$W$5,8)*R37</f>
        <v>8</v>
      </c>
    </row>
    <row r="38" spans="1:25" ht="132" x14ac:dyDescent="0.25">
      <c r="A38" s="2" t="s">
        <v>64</v>
      </c>
      <c r="B38" s="2" t="s">
        <v>319</v>
      </c>
      <c r="C38" s="3" t="s">
        <v>358</v>
      </c>
      <c r="D38" s="4"/>
      <c r="E38" s="2" t="s">
        <v>359</v>
      </c>
      <c r="F38" s="2" t="s">
        <v>360</v>
      </c>
      <c r="G38" s="10" t="s">
        <v>361</v>
      </c>
      <c r="H38" s="2" t="s">
        <v>362</v>
      </c>
      <c r="I38" s="2" t="s">
        <v>69</v>
      </c>
      <c r="J38" s="2" t="s">
        <v>326</v>
      </c>
      <c r="K38" s="2" t="s">
        <v>151</v>
      </c>
      <c r="L38" s="11" t="s">
        <v>363</v>
      </c>
      <c r="M38" s="2">
        <v>1</v>
      </c>
      <c r="N38" s="3" t="s">
        <v>364</v>
      </c>
      <c r="O38" s="12"/>
      <c r="P38" s="2" t="s">
        <v>81</v>
      </c>
      <c r="Q38" s="2"/>
      <c r="R38" s="1">
        <v>1</v>
      </c>
      <c r="S38" s="1" t="s">
        <v>41</v>
      </c>
      <c r="T38" s="1">
        <f>+VLOOKUP(S38,Atributos!$P$2:$W$5,3)*R38</f>
        <v>1</v>
      </c>
      <c r="U38" s="1">
        <f>+VLOOKUP(S38,Atributos!$P$2:$W$5,4)*R38</f>
        <v>2</v>
      </c>
      <c r="V38" s="1">
        <f>+VLOOKUP(S38,Atributos!$P$2:$W$5,5)*R38</f>
        <v>16</v>
      </c>
      <c r="W38" s="1">
        <f>+VLOOKUP(S38,Atributos!$P$2:$W$5,6)*R38</f>
        <v>32</v>
      </c>
      <c r="X38" s="1">
        <f>+VLOOKUP(S38,Atributos!$P$2:$W$5,7)*R38</f>
        <v>8</v>
      </c>
      <c r="Y38" s="1">
        <f>+VLOOKUP(S38,Atributos!$P$2:$W$5,8)*R38</f>
        <v>8</v>
      </c>
    </row>
    <row r="39" spans="1:25" ht="372" x14ac:dyDescent="0.25">
      <c r="A39" s="2" t="s">
        <v>68</v>
      </c>
      <c r="B39" s="2" t="s">
        <v>365</v>
      </c>
      <c r="C39" s="3" t="s">
        <v>366</v>
      </c>
      <c r="D39" s="4" t="s">
        <v>367</v>
      </c>
      <c r="E39" s="2" t="s">
        <v>368</v>
      </c>
      <c r="F39" s="2" t="s">
        <v>369</v>
      </c>
      <c r="G39" s="10" t="s">
        <v>370</v>
      </c>
      <c r="H39" s="10" t="s">
        <v>371</v>
      </c>
      <c r="I39" s="2" t="s">
        <v>69</v>
      </c>
      <c r="J39" s="10" t="s">
        <v>326</v>
      </c>
      <c r="K39" s="2" t="s">
        <v>151</v>
      </c>
      <c r="L39" s="4"/>
      <c r="M39" s="2">
        <v>1</v>
      </c>
      <c r="N39" s="2"/>
      <c r="O39" s="2" t="s">
        <v>372</v>
      </c>
      <c r="P39" s="2" t="s">
        <v>81</v>
      </c>
      <c r="Q39" s="2"/>
      <c r="R39" s="1">
        <v>1</v>
      </c>
      <c r="S39" s="1" t="s">
        <v>41</v>
      </c>
      <c r="T39" s="1">
        <f>+VLOOKUP(S39,Atributos!$P$2:$W$5,3)*R39</f>
        <v>1</v>
      </c>
      <c r="U39" s="1">
        <f>+VLOOKUP(S39,Atributos!$P$2:$W$5,4)*R39</f>
        <v>2</v>
      </c>
      <c r="V39" s="1">
        <f>+VLOOKUP(S39,Atributos!$P$2:$W$5,5)*R39</f>
        <v>16</v>
      </c>
      <c r="W39" s="1">
        <f>+VLOOKUP(S39,Atributos!$P$2:$W$5,6)*R39</f>
        <v>32</v>
      </c>
      <c r="X39" s="1">
        <f>+VLOOKUP(S39,Atributos!$P$2:$W$5,7)*R39</f>
        <v>8</v>
      </c>
      <c r="Y39" s="1">
        <f>+VLOOKUP(S39,Atributos!$P$2:$W$5,8)*R39</f>
        <v>8</v>
      </c>
    </row>
    <row r="40" spans="1:25" ht="120" x14ac:dyDescent="0.25">
      <c r="A40" s="2" t="s">
        <v>68</v>
      </c>
      <c r="B40" s="2" t="s">
        <v>365</v>
      </c>
      <c r="C40" s="3" t="s">
        <v>373</v>
      </c>
      <c r="D40" s="4" t="s">
        <v>374</v>
      </c>
      <c r="E40" s="2" t="s">
        <v>375</v>
      </c>
      <c r="F40" s="2" t="s">
        <v>376</v>
      </c>
      <c r="G40" s="2" t="s">
        <v>377</v>
      </c>
      <c r="H40" s="2" t="s">
        <v>378</v>
      </c>
      <c r="I40" s="2" t="s">
        <v>69</v>
      </c>
      <c r="J40" s="2" t="s">
        <v>326</v>
      </c>
      <c r="K40" s="2" t="s">
        <v>151</v>
      </c>
      <c r="L40" s="4"/>
      <c r="M40" s="2">
        <v>1</v>
      </c>
      <c r="N40" s="2"/>
      <c r="O40" s="2"/>
      <c r="P40" s="2" t="s">
        <v>81</v>
      </c>
      <c r="Q40" s="2"/>
      <c r="R40" s="1">
        <v>1</v>
      </c>
      <c r="S40" s="1" t="s">
        <v>41</v>
      </c>
      <c r="T40" s="1">
        <f>+VLOOKUP(S40,Atributos!$P$2:$W$5,3)*R40</f>
        <v>1</v>
      </c>
      <c r="U40" s="1">
        <f>+VLOOKUP(S40,Atributos!$P$2:$W$5,4)*R40</f>
        <v>2</v>
      </c>
      <c r="V40" s="1">
        <f>+VLOOKUP(S40,Atributos!$P$2:$W$5,5)*R40</f>
        <v>16</v>
      </c>
      <c r="W40" s="1">
        <f>+VLOOKUP(S40,Atributos!$P$2:$W$5,6)*R40</f>
        <v>32</v>
      </c>
      <c r="X40" s="1">
        <f>+VLOOKUP(S40,Atributos!$P$2:$W$5,7)*R40</f>
        <v>8</v>
      </c>
      <c r="Y40" s="1">
        <f>+VLOOKUP(S40,Atributos!$P$2:$W$5,8)*R40</f>
        <v>8</v>
      </c>
    </row>
    <row r="41" spans="1:25" ht="60" x14ac:dyDescent="0.25">
      <c r="A41" s="2" t="s">
        <v>51</v>
      </c>
      <c r="B41" s="2" t="s">
        <v>33</v>
      </c>
      <c r="C41" s="2" t="s">
        <v>379</v>
      </c>
      <c r="D41" s="2"/>
      <c r="E41" s="2" t="s">
        <v>380</v>
      </c>
      <c r="F41" s="2" t="s">
        <v>381</v>
      </c>
      <c r="G41" s="2" t="s">
        <v>381</v>
      </c>
      <c r="H41" s="2"/>
      <c r="I41" s="2" t="s">
        <v>59</v>
      </c>
      <c r="J41" s="2"/>
      <c r="K41" s="2" t="s">
        <v>151</v>
      </c>
      <c r="L41" s="2"/>
      <c r="M41" s="3">
        <v>2</v>
      </c>
      <c r="N41" s="2"/>
      <c r="O41" s="2"/>
      <c r="P41" s="2" t="s">
        <v>81</v>
      </c>
      <c r="Q41" s="2"/>
      <c r="R41" s="1">
        <v>1</v>
      </c>
      <c r="S41" s="1" t="s">
        <v>33</v>
      </c>
      <c r="T41" s="1">
        <f>+VLOOKUP(S41,Atributos!$P$2:$W$5,3)*R41</f>
        <v>1</v>
      </c>
      <c r="U41" s="1">
        <f>+VLOOKUP(S41,Atributos!$P$2:$W$5,4)*R41</f>
        <v>1</v>
      </c>
      <c r="V41" s="1">
        <f>+VLOOKUP(S41,Atributos!$P$2:$W$5,5)*R41</f>
        <v>4</v>
      </c>
      <c r="W41" s="1">
        <f>+VLOOKUP(S41,Atributos!$P$2:$W$5,6)*R41</f>
        <v>4</v>
      </c>
      <c r="X41" s="1">
        <f>+VLOOKUP(S41,Atributos!$P$2:$W$5,7)*R41</f>
        <v>0</v>
      </c>
      <c r="Y41" s="1">
        <f>+VLOOKUP(S41,Atributos!$P$2:$W$5,8)*R41</f>
        <v>0</v>
      </c>
    </row>
    <row r="42" spans="1:25" ht="72" x14ac:dyDescent="0.25">
      <c r="A42" s="2" t="s">
        <v>51</v>
      </c>
      <c r="B42" s="2" t="s">
        <v>382</v>
      </c>
      <c r="C42" s="2" t="s">
        <v>383</v>
      </c>
      <c r="D42" s="4"/>
      <c r="E42" s="10" t="s">
        <v>384</v>
      </c>
      <c r="F42" s="2" t="s">
        <v>385</v>
      </c>
      <c r="G42" s="2"/>
      <c r="H42" s="2"/>
      <c r="I42" s="2" t="s">
        <v>59</v>
      </c>
      <c r="J42" s="2"/>
      <c r="K42" s="2"/>
      <c r="L42" s="4"/>
      <c r="M42" s="3">
        <v>2</v>
      </c>
      <c r="N42" s="2"/>
      <c r="O42" s="2"/>
      <c r="P42" s="2" t="s">
        <v>81</v>
      </c>
      <c r="Q42" s="2"/>
      <c r="R42" s="1">
        <v>1</v>
      </c>
      <c r="S42" s="1" t="s">
        <v>31</v>
      </c>
      <c r="T42" s="1">
        <f>+VLOOKUP(S42,Atributos!$P$2:$W$5,3)*R42</f>
        <v>1</v>
      </c>
      <c r="U42" s="1">
        <f>+VLOOKUP(S42,Atributos!$P$2:$W$5,4)*R42</f>
        <v>1</v>
      </c>
      <c r="V42" s="1">
        <f>+VLOOKUP(S42,Atributos!$P$2:$W$5,5)*R42</f>
        <v>8</v>
      </c>
      <c r="W42" s="1">
        <f>+VLOOKUP(S42,Atributos!$P$2:$W$5,6)*R42</f>
        <v>8</v>
      </c>
      <c r="X42" s="1">
        <f>+VLOOKUP(S42,Atributos!$P$2:$W$5,7)*R42</f>
        <v>8</v>
      </c>
      <c r="Y42" s="1">
        <f>+VLOOKUP(S42,Atributos!$P$2:$W$5,8)*R42</f>
        <v>0</v>
      </c>
    </row>
    <row r="43" spans="1:25" ht="60" x14ac:dyDescent="0.25">
      <c r="A43" s="2" t="s">
        <v>51</v>
      </c>
      <c r="B43" s="2" t="s">
        <v>386</v>
      </c>
      <c r="C43" s="2" t="s">
        <v>387</v>
      </c>
      <c r="D43" s="4" t="s">
        <v>388</v>
      </c>
      <c r="E43" s="2" t="s">
        <v>389</v>
      </c>
      <c r="F43" s="2" t="s">
        <v>390</v>
      </c>
      <c r="G43" s="2"/>
      <c r="H43" s="2"/>
      <c r="I43" s="2" t="s">
        <v>59</v>
      </c>
      <c r="J43" s="2" t="s">
        <v>391</v>
      </c>
      <c r="K43" s="2" t="s">
        <v>151</v>
      </c>
      <c r="L43" s="4"/>
      <c r="M43" s="3">
        <v>2</v>
      </c>
      <c r="N43" s="2"/>
      <c r="O43" s="2"/>
      <c r="P43" s="2" t="s">
        <v>81</v>
      </c>
      <c r="Q43" s="2"/>
      <c r="R43" s="1">
        <v>1</v>
      </c>
      <c r="S43" s="1" t="s">
        <v>41</v>
      </c>
      <c r="T43" s="1">
        <f>+VLOOKUP(S43,Atributos!$P$2:$W$5,3)*R43</f>
        <v>1</v>
      </c>
      <c r="U43" s="1">
        <f>+VLOOKUP(S43,Atributos!$P$2:$W$5,4)*R43</f>
        <v>2</v>
      </c>
      <c r="V43" s="1">
        <f>+VLOOKUP(S43,Atributos!$P$2:$W$5,5)*R43</f>
        <v>16</v>
      </c>
      <c r="W43" s="1">
        <f>+VLOOKUP(S43,Atributos!$P$2:$W$5,6)*R43</f>
        <v>32</v>
      </c>
      <c r="X43" s="1">
        <f>+VLOOKUP(S43,Atributos!$P$2:$W$5,7)*R43</f>
        <v>8</v>
      </c>
      <c r="Y43" s="1">
        <f>+VLOOKUP(S43,Atributos!$P$2:$W$5,8)*R43</f>
        <v>8</v>
      </c>
    </row>
    <row r="44" spans="1:25" ht="240" x14ac:dyDescent="0.25">
      <c r="A44" s="2" t="s">
        <v>51</v>
      </c>
      <c r="B44" s="2" t="s">
        <v>386</v>
      </c>
      <c r="C44" s="2" t="s">
        <v>392</v>
      </c>
      <c r="D44" s="2" t="s">
        <v>393</v>
      </c>
      <c r="E44" s="2" t="s">
        <v>394</v>
      </c>
      <c r="F44" s="2" t="s">
        <v>395</v>
      </c>
      <c r="G44" s="2" t="s">
        <v>396</v>
      </c>
      <c r="H44" s="2"/>
      <c r="I44" s="2" t="s">
        <v>59</v>
      </c>
      <c r="J44" s="2" t="s">
        <v>393</v>
      </c>
      <c r="K44" s="2" t="s">
        <v>151</v>
      </c>
      <c r="L44" s="2"/>
      <c r="M44" s="3">
        <v>2</v>
      </c>
      <c r="N44" s="2"/>
      <c r="O44" s="2"/>
      <c r="P44" s="2" t="s">
        <v>81</v>
      </c>
      <c r="Q44" s="2"/>
      <c r="R44" s="1">
        <v>1</v>
      </c>
      <c r="S44" s="1" t="s">
        <v>41</v>
      </c>
      <c r="T44" s="1">
        <f>+VLOOKUP(S44,Atributos!$P$2:$W$5,3)*R44</f>
        <v>1</v>
      </c>
      <c r="U44" s="1">
        <f>+VLOOKUP(S44,Atributos!$P$2:$W$5,4)*R44</f>
        <v>2</v>
      </c>
      <c r="V44" s="1">
        <f>+VLOOKUP(S44,Atributos!$P$2:$W$5,5)*R44</f>
        <v>16</v>
      </c>
      <c r="W44" s="1">
        <f>+VLOOKUP(S44,Atributos!$P$2:$W$5,6)*R44</f>
        <v>32</v>
      </c>
      <c r="X44" s="1">
        <f>+VLOOKUP(S44,Atributos!$P$2:$W$5,7)*R44</f>
        <v>8</v>
      </c>
      <c r="Y44" s="1">
        <f>+VLOOKUP(S44,Atributos!$P$2:$W$5,8)*R44</f>
        <v>8</v>
      </c>
    </row>
    <row r="45" spans="1:25" ht="24" x14ac:dyDescent="0.25">
      <c r="A45" s="2" t="s">
        <v>43</v>
      </c>
      <c r="B45" s="2" t="s">
        <v>33</v>
      </c>
      <c r="C45" s="2" t="s">
        <v>397</v>
      </c>
      <c r="D45" s="2"/>
      <c r="E45" s="2" t="s">
        <v>398</v>
      </c>
      <c r="F45" s="2" t="s">
        <v>399</v>
      </c>
      <c r="G45" s="2"/>
      <c r="H45" s="2"/>
      <c r="I45" s="2" t="s">
        <v>45</v>
      </c>
      <c r="J45" s="2"/>
      <c r="K45" s="2"/>
      <c r="L45" s="2"/>
      <c r="M45" s="3">
        <v>3</v>
      </c>
      <c r="N45" s="15"/>
      <c r="O45" s="15"/>
      <c r="P45" s="2" t="s">
        <v>74</v>
      </c>
      <c r="Q45" s="2"/>
      <c r="R45" s="1">
        <v>1</v>
      </c>
      <c r="S45" s="1" t="s">
        <v>33</v>
      </c>
      <c r="T45" s="1">
        <f>+VLOOKUP(S45,Atributos!$P$2:$W$5,3)*R45</f>
        <v>1</v>
      </c>
      <c r="U45" s="1">
        <f>+VLOOKUP(S45,Atributos!$P$2:$W$5,4)*R45</f>
        <v>1</v>
      </c>
      <c r="V45" s="1">
        <f>+VLOOKUP(S45,Atributos!$P$2:$W$5,5)*R45</f>
        <v>4</v>
      </c>
      <c r="W45" s="1">
        <f>+VLOOKUP(S45,Atributos!$P$2:$W$5,6)*R45</f>
        <v>4</v>
      </c>
      <c r="X45" s="1">
        <f>+VLOOKUP(S45,Atributos!$P$2:$W$5,7)*R45</f>
        <v>0</v>
      </c>
      <c r="Y45" s="1">
        <f>+VLOOKUP(S45,Atributos!$P$2:$W$5,8)*R45</f>
        <v>0</v>
      </c>
    </row>
    <row r="46" spans="1:25" ht="60" x14ac:dyDescent="0.25">
      <c r="A46" s="2" t="s">
        <v>43</v>
      </c>
      <c r="B46" s="2" t="s">
        <v>152</v>
      </c>
      <c r="C46" s="2" t="s">
        <v>400</v>
      </c>
      <c r="D46" s="2"/>
      <c r="E46" s="2" t="s">
        <v>401</v>
      </c>
      <c r="F46" s="2" t="s">
        <v>402</v>
      </c>
      <c r="G46" s="2"/>
      <c r="H46" s="2" t="s">
        <v>403</v>
      </c>
      <c r="I46" s="2" t="s">
        <v>45</v>
      </c>
      <c r="J46" s="2" t="s">
        <v>404</v>
      </c>
      <c r="K46" s="2" t="s">
        <v>151</v>
      </c>
      <c r="L46" s="2"/>
      <c r="M46" s="3">
        <v>2</v>
      </c>
      <c r="N46" s="2" t="s">
        <v>405</v>
      </c>
      <c r="O46" s="15" t="s">
        <v>406</v>
      </c>
      <c r="P46" s="2" t="s">
        <v>81</v>
      </c>
      <c r="Q46" s="2"/>
      <c r="R46" s="1">
        <v>1</v>
      </c>
      <c r="S46" s="1" t="s">
        <v>31</v>
      </c>
      <c r="T46" s="1">
        <f>+VLOOKUP(S46,Atributos!$P$2:$W$5,3)*R46</f>
        <v>1</v>
      </c>
      <c r="U46" s="1">
        <f>+VLOOKUP(S46,Atributos!$P$2:$W$5,4)*R46</f>
        <v>1</v>
      </c>
      <c r="V46" s="1">
        <f>+VLOOKUP(S46,Atributos!$P$2:$W$5,5)*R46</f>
        <v>8</v>
      </c>
      <c r="W46" s="1">
        <f>+VLOOKUP(S46,Atributos!$P$2:$W$5,6)*R46</f>
        <v>8</v>
      </c>
      <c r="X46" s="1">
        <f>+VLOOKUP(S46,Atributos!$P$2:$W$5,7)*R46</f>
        <v>8</v>
      </c>
      <c r="Y46" s="1">
        <f>+VLOOKUP(S46,Atributos!$P$2:$W$5,8)*R46</f>
        <v>0</v>
      </c>
    </row>
    <row r="47" spans="1:25" ht="108" x14ac:dyDescent="0.25">
      <c r="A47" s="2" t="s">
        <v>43</v>
      </c>
      <c r="B47" s="2" t="s">
        <v>407</v>
      </c>
      <c r="C47" s="2" t="s">
        <v>408</v>
      </c>
      <c r="D47" s="2" t="s">
        <v>409</v>
      </c>
      <c r="E47" s="2" t="s">
        <v>410</v>
      </c>
      <c r="F47" s="2" t="s">
        <v>411</v>
      </c>
      <c r="G47" s="2" t="s">
        <v>412</v>
      </c>
      <c r="H47" s="2" t="s">
        <v>413</v>
      </c>
      <c r="I47" s="2" t="s">
        <v>45</v>
      </c>
      <c r="J47" s="2" t="s">
        <v>404</v>
      </c>
      <c r="K47" s="2" t="s">
        <v>151</v>
      </c>
      <c r="L47" s="2"/>
      <c r="M47" s="3">
        <v>2</v>
      </c>
      <c r="N47" s="2"/>
      <c r="O47" s="2"/>
      <c r="P47" s="2" t="s">
        <v>81</v>
      </c>
      <c r="Q47" s="2"/>
      <c r="R47" s="1">
        <v>1</v>
      </c>
      <c r="S47" s="1" t="s">
        <v>41</v>
      </c>
      <c r="T47" s="1">
        <f>+VLOOKUP(S47,Atributos!$P$2:$W$5,3)*R47</f>
        <v>1</v>
      </c>
      <c r="U47" s="1">
        <f>+VLOOKUP(S47,Atributos!$P$2:$W$5,4)*R47</f>
        <v>2</v>
      </c>
      <c r="V47" s="1">
        <f>+VLOOKUP(S47,Atributos!$P$2:$W$5,5)*R47</f>
        <v>16</v>
      </c>
      <c r="W47" s="1">
        <f>+VLOOKUP(S47,Atributos!$P$2:$W$5,6)*R47</f>
        <v>32</v>
      </c>
      <c r="X47" s="1">
        <f>+VLOOKUP(S47,Atributos!$P$2:$W$5,7)*R47</f>
        <v>8</v>
      </c>
      <c r="Y47" s="1">
        <f>+VLOOKUP(S47,Atributos!$P$2:$W$5,8)*R47</f>
        <v>8</v>
      </c>
    </row>
    <row r="48" spans="1:25" ht="60" x14ac:dyDescent="0.25">
      <c r="A48" s="2" t="s">
        <v>43</v>
      </c>
      <c r="B48" s="2" t="s">
        <v>407</v>
      </c>
      <c r="C48" s="2" t="s">
        <v>414</v>
      </c>
      <c r="D48" s="2" t="s">
        <v>415</v>
      </c>
      <c r="E48" s="2" t="s">
        <v>416</v>
      </c>
      <c r="F48" s="2" t="s">
        <v>417</v>
      </c>
      <c r="G48" s="2"/>
      <c r="H48" s="2"/>
      <c r="I48" s="2" t="s">
        <v>45</v>
      </c>
      <c r="J48" s="2" t="s">
        <v>404</v>
      </c>
      <c r="K48" s="2" t="s">
        <v>151</v>
      </c>
      <c r="L48" s="2"/>
      <c r="M48" s="3">
        <v>3</v>
      </c>
      <c r="N48" s="2"/>
      <c r="O48" s="2"/>
      <c r="P48" s="2" t="s">
        <v>81</v>
      </c>
      <c r="Q48" s="2"/>
      <c r="R48" s="1">
        <v>1</v>
      </c>
      <c r="S48" s="1" t="s">
        <v>41</v>
      </c>
      <c r="T48" s="1">
        <f>+VLOOKUP(S48,Atributos!$P$2:$W$5,3)*R48</f>
        <v>1</v>
      </c>
      <c r="U48" s="1">
        <f>+VLOOKUP(S48,Atributos!$P$2:$W$5,4)*R48</f>
        <v>2</v>
      </c>
      <c r="V48" s="1">
        <f>+VLOOKUP(S48,Atributos!$P$2:$W$5,5)*R48</f>
        <v>16</v>
      </c>
      <c r="W48" s="1">
        <f>+VLOOKUP(S48,Atributos!$P$2:$W$5,6)*R48</f>
        <v>32</v>
      </c>
      <c r="X48" s="1">
        <f>+VLOOKUP(S48,Atributos!$P$2:$W$5,7)*R48</f>
        <v>8</v>
      </c>
      <c r="Y48" s="1">
        <f>+VLOOKUP(S48,Atributos!$P$2:$W$5,8)*R48</f>
        <v>8</v>
      </c>
    </row>
    <row r="49" spans="1:25" ht="132" x14ac:dyDescent="0.25">
      <c r="A49" s="2" t="s">
        <v>43</v>
      </c>
      <c r="B49" s="2" t="s">
        <v>407</v>
      </c>
      <c r="C49" s="3" t="s">
        <v>418</v>
      </c>
      <c r="D49" s="4" t="s">
        <v>419</v>
      </c>
      <c r="E49" s="2" t="s">
        <v>420</v>
      </c>
      <c r="F49" s="2" t="s">
        <v>421</v>
      </c>
      <c r="G49" s="2" t="s">
        <v>422</v>
      </c>
      <c r="H49" s="2" t="s">
        <v>423</v>
      </c>
      <c r="I49" s="2" t="s">
        <v>45</v>
      </c>
      <c r="J49" s="2" t="s">
        <v>326</v>
      </c>
      <c r="K49" s="2" t="s">
        <v>151</v>
      </c>
      <c r="L49" s="4"/>
      <c r="M49" s="2">
        <v>1</v>
      </c>
      <c r="N49" s="2"/>
      <c r="O49" s="2"/>
      <c r="P49" s="2" t="s">
        <v>81</v>
      </c>
      <c r="Q49" s="2"/>
      <c r="R49" s="1">
        <v>1</v>
      </c>
      <c r="S49" s="1" t="s">
        <v>41</v>
      </c>
      <c r="T49" s="1">
        <f>+VLOOKUP(S49,Atributos!$P$2:$W$5,3)*R49</f>
        <v>1</v>
      </c>
      <c r="U49" s="1">
        <f>+VLOOKUP(S49,Atributos!$P$2:$W$5,4)*R49</f>
        <v>2</v>
      </c>
      <c r="V49" s="1">
        <f>+VLOOKUP(S49,Atributos!$P$2:$W$5,5)*R49</f>
        <v>16</v>
      </c>
      <c r="W49" s="1">
        <f>+VLOOKUP(S49,Atributos!$P$2:$W$5,6)*R49</f>
        <v>32</v>
      </c>
      <c r="X49" s="1">
        <f>+VLOOKUP(S49,Atributos!$P$2:$W$5,7)*R49</f>
        <v>8</v>
      </c>
      <c r="Y49" s="1">
        <f>+VLOOKUP(S49,Atributos!$P$2:$W$5,8)*R49</f>
        <v>8</v>
      </c>
    </row>
    <row r="50" spans="1:25" ht="60" x14ac:dyDescent="0.25">
      <c r="A50" s="2" t="s">
        <v>43</v>
      </c>
      <c r="B50" s="2" t="s">
        <v>407</v>
      </c>
      <c r="C50" s="2" t="s">
        <v>424</v>
      </c>
      <c r="D50" s="2" t="s">
        <v>425</v>
      </c>
      <c r="E50" s="2" t="s">
        <v>426</v>
      </c>
      <c r="F50" s="2" t="s">
        <v>427</v>
      </c>
      <c r="G50" s="2"/>
      <c r="H50" s="2"/>
      <c r="I50" s="2" t="s">
        <v>45</v>
      </c>
      <c r="J50" s="2"/>
      <c r="K50" s="2" t="s">
        <v>151</v>
      </c>
      <c r="L50" s="2"/>
      <c r="M50" s="3"/>
      <c r="N50" s="2"/>
      <c r="O50" s="2"/>
      <c r="P50" s="2" t="s">
        <v>74</v>
      </c>
      <c r="Q50" s="2"/>
      <c r="R50" s="1">
        <v>1</v>
      </c>
      <c r="S50" s="1" t="s">
        <v>41</v>
      </c>
      <c r="T50" s="1">
        <f>+VLOOKUP(S50,Atributos!$P$2:$W$5,3)*R50</f>
        <v>1</v>
      </c>
      <c r="U50" s="1">
        <f>+VLOOKUP(S50,Atributos!$P$2:$W$5,4)*R50</f>
        <v>2</v>
      </c>
      <c r="V50" s="1">
        <f>+VLOOKUP(S50,Atributos!$P$2:$W$5,5)*R50</f>
        <v>16</v>
      </c>
      <c r="W50" s="1">
        <f>+VLOOKUP(S50,Atributos!$P$2:$W$5,6)*R50</f>
        <v>32</v>
      </c>
      <c r="X50" s="1">
        <f>+VLOOKUP(S50,Atributos!$P$2:$W$5,7)*R50</f>
        <v>8</v>
      </c>
      <c r="Y50" s="1">
        <f>+VLOOKUP(S50,Atributos!$P$2:$W$5,8)*R50</f>
        <v>8</v>
      </c>
    </row>
    <row r="51" spans="1:25" ht="108" x14ac:dyDescent="0.25">
      <c r="A51" s="2" t="s">
        <v>43</v>
      </c>
      <c r="B51" s="2" t="s">
        <v>407</v>
      </c>
      <c r="C51" s="2" t="s">
        <v>428</v>
      </c>
      <c r="D51" s="2" t="s">
        <v>429</v>
      </c>
      <c r="E51" s="2" t="s">
        <v>430</v>
      </c>
      <c r="F51" s="2" t="s">
        <v>431</v>
      </c>
      <c r="G51" s="2"/>
      <c r="H51" s="2"/>
      <c r="I51" s="2" t="s">
        <v>45</v>
      </c>
      <c r="J51" s="2"/>
      <c r="K51" s="2" t="s">
        <v>151</v>
      </c>
      <c r="L51" s="2"/>
      <c r="M51" s="3"/>
      <c r="N51" s="2"/>
      <c r="O51" s="2"/>
      <c r="P51" s="2" t="s">
        <v>74</v>
      </c>
      <c r="Q51" s="2"/>
      <c r="R51" s="1">
        <v>1</v>
      </c>
      <c r="S51" s="1" t="s">
        <v>41</v>
      </c>
      <c r="T51" s="1">
        <f>+VLOOKUP(S51,Atributos!$P$2:$W$5,3)*R51</f>
        <v>1</v>
      </c>
      <c r="U51" s="1">
        <f>+VLOOKUP(S51,Atributos!$P$2:$W$5,4)*R51</f>
        <v>2</v>
      </c>
      <c r="V51" s="1">
        <f>+VLOOKUP(S51,Atributos!$P$2:$W$5,5)*R51</f>
        <v>16</v>
      </c>
      <c r="W51" s="1">
        <f>+VLOOKUP(S51,Atributos!$P$2:$W$5,6)*R51</f>
        <v>32</v>
      </c>
      <c r="X51" s="1">
        <f>+VLOOKUP(S51,Atributos!$P$2:$W$5,7)*R51</f>
        <v>8</v>
      </c>
      <c r="Y51" s="1">
        <f>+VLOOKUP(S51,Atributos!$P$2:$W$5,8)*R51</f>
        <v>8</v>
      </c>
    </row>
    <row r="52" spans="1:25" ht="60" x14ac:dyDescent="0.25">
      <c r="A52" s="2" t="s">
        <v>43</v>
      </c>
      <c r="B52" s="2" t="s">
        <v>407</v>
      </c>
      <c r="C52" s="2" t="s">
        <v>432</v>
      </c>
      <c r="D52" s="4"/>
      <c r="E52" s="2" t="s">
        <v>433</v>
      </c>
      <c r="F52" s="2" t="s">
        <v>434</v>
      </c>
      <c r="G52" s="2"/>
      <c r="H52" s="2"/>
      <c r="I52" s="2" t="s">
        <v>45</v>
      </c>
      <c r="J52" s="2"/>
      <c r="K52" s="2" t="s">
        <v>151</v>
      </c>
      <c r="L52" s="4"/>
      <c r="M52" s="3"/>
      <c r="N52" s="2"/>
      <c r="O52" s="2"/>
      <c r="P52" s="2" t="s">
        <v>74</v>
      </c>
      <c r="Q52" s="2"/>
      <c r="R52" s="1">
        <v>1</v>
      </c>
      <c r="S52" s="1" t="s">
        <v>41</v>
      </c>
      <c r="T52" s="1">
        <f>+VLOOKUP(S52,Atributos!$P$2:$W$5,3)*R52</f>
        <v>1</v>
      </c>
      <c r="U52" s="1">
        <f>+VLOOKUP(S52,Atributos!$P$2:$W$5,4)*R52</f>
        <v>2</v>
      </c>
      <c r="V52" s="1">
        <f>+VLOOKUP(S52,Atributos!$P$2:$W$5,5)*R52</f>
        <v>16</v>
      </c>
      <c r="W52" s="1">
        <f>+VLOOKUP(S52,Atributos!$P$2:$W$5,6)*R52</f>
        <v>32</v>
      </c>
      <c r="X52" s="1">
        <f>+VLOOKUP(S52,Atributos!$P$2:$W$5,7)*R52</f>
        <v>8</v>
      </c>
      <c r="Y52" s="1">
        <f>+VLOOKUP(S52,Atributos!$P$2:$W$5,8)*R52</f>
        <v>8</v>
      </c>
    </row>
    <row r="53" spans="1:25" ht="72" x14ac:dyDescent="0.25">
      <c r="A53" s="2" t="s">
        <v>43</v>
      </c>
      <c r="B53" s="2" t="s">
        <v>435</v>
      </c>
      <c r="C53" s="2" t="s">
        <v>436</v>
      </c>
      <c r="D53" s="2" t="s">
        <v>409</v>
      </c>
      <c r="E53" s="2" t="s">
        <v>437</v>
      </c>
      <c r="F53" s="2" t="s">
        <v>438</v>
      </c>
      <c r="G53" s="2" t="s">
        <v>439</v>
      </c>
      <c r="H53" s="2" t="s">
        <v>440</v>
      </c>
      <c r="I53" s="2" t="s">
        <v>45</v>
      </c>
      <c r="J53" s="2" t="s">
        <v>404</v>
      </c>
      <c r="K53" s="2" t="s">
        <v>151</v>
      </c>
      <c r="L53" s="2"/>
      <c r="M53" s="3">
        <v>2</v>
      </c>
      <c r="N53" s="15" t="s">
        <v>441</v>
      </c>
      <c r="O53" s="15"/>
      <c r="P53" s="2" t="s">
        <v>81</v>
      </c>
      <c r="Q53" s="2"/>
      <c r="R53" s="1">
        <v>1</v>
      </c>
      <c r="S53" s="1" t="s">
        <v>41</v>
      </c>
      <c r="T53" s="1">
        <f>+VLOOKUP(S53,Atributos!$P$2:$W$5,3)*R53</f>
        <v>1</v>
      </c>
      <c r="U53" s="1">
        <f>+VLOOKUP(S53,Atributos!$P$2:$W$5,4)*R53</f>
        <v>2</v>
      </c>
      <c r="V53" s="1">
        <f>+VLOOKUP(S53,Atributos!$P$2:$W$5,5)*R53</f>
        <v>16</v>
      </c>
      <c r="W53" s="1">
        <f>+VLOOKUP(S53,Atributos!$P$2:$W$5,6)*R53</f>
        <v>32</v>
      </c>
      <c r="X53" s="1">
        <f>+VLOOKUP(S53,Atributos!$P$2:$W$5,7)*R53</f>
        <v>8</v>
      </c>
      <c r="Y53" s="1">
        <f>+VLOOKUP(S53,Atributos!$P$2:$W$5,8)*R53</f>
        <v>8</v>
      </c>
    </row>
    <row r="54" spans="1:25" ht="60" x14ac:dyDescent="0.25">
      <c r="A54" s="2" t="s">
        <v>43</v>
      </c>
      <c r="B54" s="2" t="s">
        <v>435</v>
      </c>
      <c r="C54" s="2" t="s">
        <v>442</v>
      </c>
      <c r="D54" s="2" t="s">
        <v>443</v>
      </c>
      <c r="E54" s="2" t="s">
        <v>444</v>
      </c>
      <c r="F54" s="2" t="s">
        <v>445</v>
      </c>
      <c r="G54" s="2"/>
      <c r="H54" s="2"/>
      <c r="I54" s="2" t="s">
        <v>45</v>
      </c>
      <c r="J54" s="2"/>
      <c r="K54" s="2" t="s">
        <v>151</v>
      </c>
      <c r="L54" s="2"/>
      <c r="M54" s="3"/>
      <c r="N54" s="2"/>
      <c r="O54" s="2"/>
      <c r="P54" s="2" t="s">
        <v>81</v>
      </c>
      <c r="Q54" s="2"/>
      <c r="R54" s="1">
        <v>1</v>
      </c>
      <c r="S54" s="1" t="s">
        <v>41</v>
      </c>
      <c r="T54" s="1">
        <f>+VLOOKUP(S54,Atributos!$P$2:$W$5,3)*R54</f>
        <v>1</v>
      </c>
      <c r="U54" s="1">
        <f>+VLOOKUP(S54,Atributos!$P$2:$W$5,4)*R54</f>
        <v>2</v>
      </c>
      <c r="V54" s="1">
        <f>+VLOOKUP(S54,Atributos!$P$2:$W$5,5)*R54</f>
        <v>16</v>
      </c>
      <c r="W54" s="1">
        <f>+VLOOKUP(S54,Atributos!$P$2:$W$5,6)*R54</f>
        <v>32</v>
      </c>
      <c r="X54" s="1">
        <f>+VLOOKUP(S54,Atributos!$P$2:$W$5,7)*R54</f>
        <v>8</v>
      </c>
      <c r="Y54" s="1">
        <f>+VLOOKUP(S54,Atributos!$P$2:$W$5,8)*R54</f>
        <v>8</v>
      </c>
    </row>
    <row r="55" spans="1:25" ht="84" x14ac:dyDescent="0.25">
      <c r="A55" s="2" t="s">
        <v>43</v>
      </c>
      <c r="B55" s="2" t="s">
        <v>435</v>
      </c>
      <c r="C55" s="2" t="s">
        <v>446</v>
      </c>
      <c r="D55" s="2" t="s">
        <v>447</v>
      </c>
      <c r="E55" s="2" t="s">
        <v>448</v>
      </c>
      <c r="F55" s="2" t="s">
        <v>449</v>
      </c>
      <c r="G55" s="2"/>
      <c r="H55" s="2"/>
      <c r="I55" s="2" t="s">
        <v>45</v>
      </c>
      <c r="J55" s="2"/>
      <c r="K55" s="2" t="s">
        <v>151</v>
      </c>
      <c r="L55" s="2"/>
      <c r="M55" s="3"/>
      <c r="N55" s="2"/>
      <c r="O55" s="2"/>
      <c r="P55" s="2" t="s">
        <v>74</v>
      </c>
      <c r="Q55" s="2"/>
      <c r="R55" s="1">
        <v>1</v>
      </c>
      <c r="S55" s="1" t="s">
        <v>41</v>
      </c>
      <c r="T55" s="1">
        <f>+VLOOKUP(S55,Atributos!$P$2:$W$5,3)*R55</f>
        <v>1</v>
      </c>
      <c r="U55" s="1">
        <f>+VLOOKUP(S55,Atributos!$P$2:$W$5,4)*R55</f>
        <v>2</v>
      </c>
      <c r="V55" s="1">
        <f>+VLOOKUP(S55,Atributos!$P$2:$W$5,5)*R55</f>
        <v>16</v>
      </c>
      <c r="W55" s="1">
        <f>+VLOOKUP(S55,Atributos!$P$2:$W$5,6)*R55</f>
        <v>32</v>
      </c>
      <c r="X55" s="1">
        <f>+VLOOKUP(S55,Atributos!$P$2:$W$5,7)*R55</f>
        <v>8</v>
      </c>
      <c r="Y55" s="1">
        <f>+VLOOKUP(S55,Atributos!$P$2:$W$5,8)*R55</f>
        <v>8</v>
      </c>
    </row>
    <row r="56" spans="1:25" ht="108" x14ac:dyDescent="0.25">
      <c r="A56" s="2" t="s">
        <v>43</v>
      </c>
      <c r="B56" s="2" t="s">
        <v>435</v>
      </c>
      <c r="C56" s="2" t="s">
        <v>450</v>
      </c>
      <c r="D56" s="2" t="s">
        <v>451</v>
      </c>
      <c r="E56" s="2" t="s">
        <v>452</v>
      </c>
      <c r="F56" s="2" t="s">
        <v>453</v>
      </c>
      <c r="G56" s="2"/>
      <c r="H56" s="2"/>
      <c r="I56" s="2" t="s">
        <v>45</v>
      </c>
      <c r="J56" s="2"/>
      <c r="K56" s="2" t="s">
        <v>151</v>
      </c>
      <c r="L56" s="2"/>
      <c r="M56" s="3"/>
      <c r="N56" s="2"/>
      <c r="O56" s="2"/>
      <c r="P56" s="2" t="s">
        <v>74</v>
      </c>
      <c r="Q56" s="2"/>
      <c r="R56" s="1">
        <v>1</v>
      </c>
      <c r="S56" s="1" t="s">
        <v>41</v>
      </c>
      <c r="T56" s="1">
        <f>+VLOOKUP(S56,Atributos!$P$2:$W$5,3)*R56</f>
        <v>1</v>
      </c>
      <c r="U56" s="1">
        <f>+VLOOKUP(S56,Atributos!$P$2:$W$5,4)*R56</f>
        <v>2</v>
      </c>
      <c r="V56" s="1">
        <f>+VLOOKUP(S56,Atributos!$P$2:$W$5,5)*R56</f>
        <v>16</v>
      </c>
      <c r="W56" s="1">
        <f>+VLOOKUP(S56,Atributos!$P$2:$W$5,6)*R56</f>
        <v>32</v>
      </c>
      <c r="X56" s="1">
        <f>+VLOOKUP(S56,Atributos!$P$2:$W$5,7)*R56</f>
        <v>8</v>
      </c>
      <c r="Y56" s="1">
        <f>+VLOOKUP(S56,Atributos!$P$2:$W$5,8)*R56</f>
        <v>8</v>
      </c>
    </row>
    <row r="57" spans="1:25" ht="60" x14ac:dyDescent="0.25">
      <c r="A57" s="2" t="s">
        <v>43</v>
      </c>
      <c r="B57" s="2" t="s">
        <v>435</v>
      </c>
      <c r="C57" s="2" t="s">
        <v>454</v>
      </c>
      <c r="D57" s="2" t="s">
        <v>455</v>
      </c>
      <c r="E57" s="2" t="s">
        <v>444</v>
      </c>
      <c r="F57" s="2" t="s">
        <v>456</v>
      </c>
      <c r="G57" s="2"/>
      <c r="H57" s="2"/>
      <c r="I57" s="2" t="s">
        <v>45</v>
      </c>
      <c r="J57" s="2"/>
      <c r="K57" s="2" t="s">
        <v>151</v>
      </c>
      <c r="L57" s="2"/>
      <c r="M57" s="3"/>
      <c r="N57" s="2"/>
      <c r="O57" s="2"/>
      <c r="P57" s="2" t="s">
        <v>81</v>
      </c>
      <c r="Q57" s="2"/>
      <c r="R57" s="1">
        <v>1</v>
      </c>
      <c r="S57" s="1" t="s">
        <v>41</v>
      </c>
      <c r="T57" s="1">
        <f>+VLOOKUP(S57,Atributos!$P$2:$W$5,3)*R57</f>
        <v>1</v>
      </c>
      <c r="U57" s="1">
        <f>+VLOOKUP(S57,Atributos!$P$2:$W$5,4)*R57</f>
        <v>2</v>
      </c>
      <c r="V57" s="1">
        <f>+VLOOKUP(S57,Atributos!$P$2:$W$5,5)*R57</f>
        <v>16</v>
      </c>
      <c r="W57" s="1">
        <f>+VLOOKUP(S57,Atributos!$P$2:$W$5,6)*R57</f>
        <v>32</v>
      </c>
      <c r="X57" s="1">
        <f>+VLOOKUP(S57,Atributos!$P$2:$W$5,7)*R57</f>
        <v>8</v>
      </c>
      <c r="Y57" s="1">
        <f>+VLOOKUP(S57,Atributos!$P$2:$W$5,8)*R57</f>
        <v>8</v>
      </c>
    </row>
    <row r="58" spans="1:25" ht="84" x14ac:dyDescent="0.25">
      <c r="A58" s="2" t="s">
        <v>43</v>
      </c>
      <c r="B58" s="2" t="s">
        <v>435</v>
      </c>
      <c r="C58" s="2" t="s">
        <v>457</v>
      </c>
      <c r="D58" s="2" t="s">
        <v>458</v>
      </c>
      <c r="E58" s="2" t="s">
        <v>459</v>
      </c>
      <c r="F58" s="2" t="s">
        <v>460</v>
      </c>
      <c r="G58" s="2" t="s">
        <v>461</v>
      </c>
      <c r="H58" s="2" t="s">
        <v>440</v>
      </c>
      <c r="I58" s="2" t="s">
        <v>45</v>
      </c>
      <c r="J58" s="2" t="s">
        <v>404</v>
      </c>
      <c r="K58" s="2" t="s">
        <v>151</v>
      </c>
      <c r="L58" s="2"/>
      <c r="M58" s="3">
        <v>2</v>
      </c>
      <c r="N58" s="15" t="s">
        <v>462</v>
      </c>
      <c r="O58" s="2"/>
      <c r="P58" s="2" t="s">
        <v>81</v>
      </c>
      <c r="Q58" s="2"/>
      <c r="R58" s="1">
        <v>1</v>
      </c>
      <c r="S58" s="1" t="s">
        <v>41</v>
      </c>
      <c r="T58" s="1">
        <f>+VLOOKUP(S58,Atributos!$P$2:$W$5,3)*R58</f>
        <v>1</v>
      </c>
      <c r="U58" s="1">
        <f>+VLOOKUP(S58,Atributos!$P$2:$W$5,4)*R58</f>
        <v>2</v>
      </c>
      <c r="V58" s="1">
        <f>+VLOOKUP(S58,Atributos!$P$2:$W$5,5)*R58</f>
        <v>16</v>
      </c>
      <c r="W58" s="1">
        <f>+VLOOKUP(S58,Atributos!$P$2:$W$5,6)*R58</f>
        <v>32</v>
      </c>
      <c r="X58" s="1">
        <f>+VLOOKUP(S58,Atributos!$P$2:$W$5,7)*R58</f>
        <v>8</v>
      </c>
      <c r="Y58" s="1">
        <f>+VLOOKUP(S58,Atributos!$P$2:$W$5,8)*R58</f>
        <v>8</v>
      </c>
    </row>
    <row r="59" spans="1:25" ht="60" x14ac:dyDescent="0.25">
      <c r="A59" s="2" t="s">
        <v>43</v>
      </c>
      <c r="B59" s="2" t="s">
        <v>435</v>
      </c>
      <c r="C59" s="2" t="s">
        <v>463</v>
      </c>
      <c r="D59" s="2"/>
      <c r="E59" s="2" t="s">
        <v>464</v>
      </c>
      <c r="F59" s="2" t="s">
        <v>445</v>
      </c>
      <c r="G59" s="2"/>
      <c r="H59" s="2"/>
      <c r="I59" s="2" t="s">
        <v>45</v>
      </c>
      <c r="J59" s="2"/>
      <c r="K59" s="2" t="s">
        <v>151</v>
      </c>
      <c r="L59" s="2"/>
      <c r="M59" s="3"/>
      <c r="N59" s="2"/>
      <c r="O59" s="2"/>
      <c r="P59" s="2" t="s">
        <v>81</v>
      </c>
      <c r="Q59" s="2"/>
      <c r="R59" s="1">
        <v>1</v>
      </c>
      <c r="S59" s="1" t="s">
        <v>41</v>
      </c>
      <c r="T59" s="1">
        <f>+VLOOKUP(S59,Atributos!$P$2:$W$5,3)*R59</f>
        <v>1</v>
      </c>
      <c r="U59" s="1">
        <f>+VLOOKUP(S59,Atributos!$P$2:$W$5,4)*R59</f>
        <v>2</v>
      </c>
      <c r="V59" s="1">
        <f>+VLOOKUP(S59,Atributos!$P$2:$W$5,5)*R59</f>
        <v>16</v>
      </c>
      <c r="W59" s="1">
        <f>+VLOOKUP(S59,Atributos!$P$2:$W$5,6)*R59</f>
        <v>32</v>
      </c>
      <c r="X59" s="1">
        <f>+VLOOKUP(S59,Atributos!$P$2:$W$5,7)*R59</f>
        <v>8</v>
      </c>
      <c r="Y59" s="1">
        <f>+VLOOKUP(S59,Atributos!$P$2:$W$5,8)*R59</f>
        <v>8</v>
      </c>
    </row>
    <row r="60" spans="1:25" ht="96" x14ac:dyDescent="0.25">
      <c r="A60" s="2" t="s">
        <v>43</v>
      </c>
      <c r="B60" s="2" t="s">
        <v>435</v>
      </c>
      <c r="C60" s="2" t="s">
        <v>465</v>
      </c>
      <c r="D60" s="2" t="s">
        <v>466</v>
      </c>
      <c r="E60" s="2" t="s">
        <v>467</v>
      </c>
      <c r="F60" s="2" t="s">
        <v>468</v>
      </c>
      <c r="G60" s="2"/>
      <c r="H60" s="2"/>
      <c r="I60" s="2" t="s">
        <v>45</v>
      </c>
      <c r="J60" s="2"/>
      <c r="K60" s="2" t="s">
        <v>151</v>
      </c>
      <c r="L60" s="2"/>
      <c r="M60" s="3"/>
      <c r="N60" s="2"/>
      <c r="O60" s="2"/>
      <c r="P60" s="2" t="s">
        <v>74</v>
      </c>
      <c r="Q60" s="2"/>
      <c r="R60" s="1">
        <v>1</v>
      </c>
      <c r="S60" s="1" t="s">
        <v>41</v>
      </c>
      <c r="T60" s="1">
        <f>+VLOOKUP(S60,Atributos!$P$2:$W$5,3)*R60</f>
        <v>1</v>
      </c>
      <c r="U60" s="1">
        <f>+VLOOKUP(S60,Atributos!$P$2:$W$5,4)*R60</f>
        <v>2</v>
      </c>
      <c r="V60" s="1">
        <f>+VLOOKUP(S60,Atributos!$P$2:$W$5,5)*R60</f>
        <v>16</v>
      </c>
      <c r="W60" s="1">
        <f>+VLOOKUP(S60,Atributos!$P$2:$W$5,6)*R60</f>
        <v>32</v>
      </c>
      <c r="X60" s="1">
        <f>+VLOOKUP(S60,Atributos!$P$2:$W$5,7)*R60</f>
        <v>8</v>
      </c>
      <c r="Y60" s="1">
        <f>+VLOOKUP(S60,Atributos!$P$2:$W$5,8)*R60</f>
        <v>8</v>
      </c>
    </row>
    <row r="61" spans="1:25" ht="84" x14ac:dyDescent="0.25">
      <c r="A61" s="2" t="s">
        <v>43</v>
      </c>
      <c r="B61" s="2" t="s">
        <v>435</v>
      </c>
      <c r="C61" s="2" t="s">
        <v>469</v>
      </c>
      <c r="D61" s="2" t="s">
        <v>470</v>
      </c>
      <c r="E61" s="2" t="s">
        <v>471</v>
      </c>
      <c r="F61" s="2" t="s">
        <v>472</v>
      </c>
      <c r="G61" s="2" t="s">
        <v>473</v>
      </c>
      <c r="H61" s="2" t="s">
        <v>440</v>
      </c>
      <c r="I61" s="2" t="s">
        <v>45</v>
      </c>
      <c r="J61" s="2" t="s">
        <v>404</v>
      </c>
      <c r="K61" s="2" t="s">
        <v>151</v>
      </c>
      <c r="L61" s="2"/>
      <c r="M61" s="3">
        <v>2</v>
      </c>
      <c r="N61" s="15" t="s">
        <v>462</v>
      </c>
      <c r="O61" s="2"/>
      <c r="P61" s="2" t="s">
        <v>81</v>
      </c>
      <c r="Q61" s="2"/>
      <c r="R61" s="1">
        <v>1</v>
      </c>
      <c r="S61" s="1" t="s">
        <v>41</v>
      </c>
      <c r="T61" s="1">
        <f>+VLOOKUP(S61,Atributos!$P$2:$W$5,3)*R61</f>
        <v>1</v>
      </c>
      <c r="U61" s="1">
        <f>+VLOOKUP(S61,Atributos!$P$2:$W$5,4)*R61</f>
        <v>2</v>
      </c>
      <c r="V61" s="1">
        <f>+VLOOKUP(S61,Atributos!$P$2:$W$5,5)*R61</f>
        <v>16</v>
      </c>
      <c r="W61" s="1">
        <f>+VLOOKUP(S61,Atributos!$P$2:$W$5,6)*R61</f>
        <v>32</v>
      </c>
      <c r="X61" s="1">
        <f>+VLOOKUP(S61,Atributos!$P$2:$W$5,7)*R61</f>
        <v>8</v>
      </c>
      <c r="Y61" s="1">
        <f>+VLOOKUP(S61,Atributos!$P$2:$W$5,8)*R61</f>
        <v>8</v>
      </c>
    </row>
    <row r="62" spans="1:25" ht="60" x14ac:dyDescent="0.25">
      <c r="A62" s="2" t="s">
        <v>57</v>
      </c>
      <c r="B62" s="2" t="s">
        <v>152</v>
      </c>
      <c r="C62" s="2" t="s">
        <v>474</v>
      </c>
      <c r="D62" s="4"/>
      <c r="E62" s="16" t="s">
        <v>401</v>
      </c>
      <c r="F62" s="2" t="s">
        <v>475</v>
      </c>
      <c r="G62" s="16"/>
      <c r="H62" s="16"/>
      <c r="I62" s="2" t="s">
        <v>76</v>
      </c>
      <c r="J62" s="16"/>
      <c r="K62" s="2" t="s">
        <v>151</v>
      </c>
      <c r="L62" s="4"/>
      <c r="M62" s="3">
        <v>3</v>
      </c>
      <c r="N62" s="2" t="s">
        <v>405</v>
      </c>
      <c r="O62" s="2"/>
      <c r="P62" s="2" t="s">
        <v>81</v>
      </c>
      <c r="Q62" s="2"/>
      <c r="R62" s="1">
        <v>1</v>
      </c>
      <c r="S62" s="1" t="s">
        <v>31</v>
      </c>
      <c r="T62" s="1">
        <f>+VLOOKUP(S62,Atributos!$P$2:$W$5,3)*R62</f>
        <v>1</v>
      </c>
      <c r="U62" s="1">
        <f>+VLOOKUP(S62,Atributos!$P$2:$W$5,4)*R62</f>
        <v>1</v>
      </c>
      <c r="V62" s="1">
        <f>+VLOOKUP(S62,Atributos!$P$2:$W$5,5)*R62</f>
        <v>8</v>
      </c>
      <c r="W62" s="1">
        <f>+VLOOKUP(S62,Atributos!$P$2:$W$5,6)*R62</f>
        <v>8</v>
      </c>
      <c r="X62" s="1">
        <f>+VLOOKUP(S62,Atributos!$P$2:$W$5,7)*R62</f>
        <v>8</v>
      </c>
      <c r="Y62" s="1">
        <f>+VLOOKUP(S62,Atributos!$P$2:$W$5,8)*R62</f>
        <v>0</v>
      </c>
    </row>
    <row r="63" spans="1:25" ht="72" x14ac:dyDescent="0.25">
      <c r="A63" s="2" t="s">
        <v>57</v>
      </c>
      <c r="B63" s="2" t="s">
        <v>476</v>
      </c>
      <c r="C63" s="2" t="s">
        <v>477</v>
      </c>
      <c r="D63" s="4"/>
      <c r="E63" s="16" t="s">
        <v>478</v>
      </c>
      <c r="F63" s="16" t="s">
        <v>479</v>
      </c>
      <c r="G63" s="16" t="s">
        <v>480</v>
      </c>
      <c r="H63" s="16"/>
      <c r="I63" s="2" t="s">
        <v>76</v>
      </c>
      <c r="J63" s="16"/>
      <c r="K63" s="2" t="s">
        <v>151</v>
      </c>
      <c r="L63" s="4"/>
      <c r="M63" s="3">
        <v>2</v>
      </c>
      <c r="N63" s="2" t="s">
        <v>481</v>
      </c>
      <c r="O63" s="2"/>
      <c r="P63" s="2" t="s">
        <v>81</v>
      </c>
      <c r="Q63" s="2"/>
      <c r="R63" s="1">
        <v>1</v>
      </c>
      <c r="S63" s="1" t="s">
        <v>41</v>
      </c>
      <c r="T63" s="1">
        <f>+VLOOKUP(S63,Atributos!$P$2:$W$5,3)*R63</f>
        <v>1</v>
      </c>
      <c r="U63" s="1">
        <f>+VLOOKUP(S63,Atributos!$P$2:$W$5,4)*R63</f>
        <v>2</v>
      </c>
      <c r="V63" s="1">
        <f>+VLOOKUP(S63,Atributos!$P$2:$W$5,5)*R63</f>
        <v>16</v>
      </c>
      <c r="W63" s="1">
        <f>+VLOOKUP(S63,Atributos!$P$2:$W$5,6)*R63</f>
        <v>32</v>
      </c>
      <c r="X63" s="1">
        <f>+VLOOKUP(S63,Atributos!$P$2:$W$5,7)*R63</f>
        <v>8</v>
      </c>
      <c r="Y63" s="1">
        <f>+VLOOKUP(S63,Atributos!$P$2:$W$5,8)*R63</f>
        <v>8</v>
      </c>
    </row>
    <row r="64" spans="1:25" ht="96" x14ac:dyDescent="0.25">
      <c r="A64" s="2" t="s">
        <v>57</v>
      </c>
      <c r="B64" s="2" t="s">
        <v>476</v>
      </c>
      <c r="C64" s="2" t="s">
        <v>482</v>
      </c>
      <c r="D64" s="4"/>
      <c r="E64" s="16" t="s">
        <v>483</v>
      </c>
      <c r="F64" s="16" t="s">
        <v>484</v>
      </c>
      <c r="G64" s="16" t="s">
        <v>485</v>
      </c>
      <c r="H64" s="16"/>
      <c r="I64" s="2" t="s">
        <v>76</v>
      </c>
      <c r="J64" s="16"/>
      <c r="K64" s="2" t="s">
        <v>151</v>
      </c>
      <c r="L64" s="4"/>
      <c r="M64" s="3">
        <v>2</v>
      </c>
      <c r="N64" s="2"/>
      <c r="O64" s="2"/>
      <c r="P64" s="2" t="s">
        <v>81</v>
      </c>
      <c r="Q64" s="2"/>
      <c r="R64" s="1">
        <v>1</v>
      </c>
      <c r="S64" s="1" t="s">
        <v>41</v>
      </c>
      <c r="T64" s="1">
        <f>+VLOOKUP(S64,Atributos!$P$2:$W$5,3)*R64</f>
        <v>1</v>
      </c>
      <c r="U64" s="1">
        <f>+VLOOKUP(S64,Atributos!$P$2:$W$5,4)*R64</f>
        <v>2</v>
      </c>
      <c r="V64" s="1">
        <f>+VLOOKUP(S64,Atributos!$P$2:$W$5,5)*R64</f>
        <v>16</v>
      </c>
      <c r="W64" s="1">
        <f>+VLOOKUP(S64,Atributos!$P$2:$W$5,6)*R64</f>
        <v>32</v>
      </c>
      <c r="X64" s="1">
        <f>+VLOOKUP(S64,Atributos!$P$2:$W$5,7)*R64</f>
        <v>8</v>
      </c>
      <c r="Y64" s="1">
        <f>+VLOOKUP(S64,Atributos!$P$2:$W$5,8)*R64</f>
        <v>8</v>
      </c>
    </row>
    <row r="65" spans="1:25" ht="72" x14ac:dyDescent="0.25">
      <c r="A65" s="2" t="s">
        <v>57</v>
      </c>
      <c r="B65" s="2" t="s">
        <v>476</v>
      </c>
      <c r="C65" s="2" t="s">
        <v>486</v>
      </c>
      <c r="D65" s="4"/>
      <c r="E65" s="16" t="s">
        <v>487</v>
      </c>
      <c r="F65" s="16" t="s">
        <v>488</v>
      </c>
      <c r="G65" s="16" t="s">
        <v>485</v>
      </c>
      <c r="H65" s="16"/>
      <c r="I65" s="2" t="s">
        <v>76</v>
      </c>
      <c r="J65" s="16"/>
      <c r="K65" s="2" t="s">
        <v>151</v>
      </c>
      <c r="L65" s="4"/>
      <c r="M65" s="3">
        <v>2</v>
      </c>
      <c r="N65" s="2"/>
      <c r="O65" s="2"/>
      <c r="P65" s="2" t="s">
        <v>81</v>
      </c>
      <c r="Q65" s="2"/>
      <c r="R65" s="1">
        <v>1</v>
      </c>
      <c r="S65" s="1" t="s">
        <v>41</v>
      </c>
      <c r="T65" s="1">
        <f>+VLOOKUP(S65,Atributos!$P$2:$W$5,3)*R65</f>
        <v>1</v>
      </c>
      <c r="U65" s="1">
        <f>+VLOOKUP(S65,Atributos!$P$2:$W$5,4)*R65</f>
        <v>2</v>
      </c>
      <c r="V65" s="1">
        <f>+VLOOKUP(S65,Atributos!$P$2:$W$5,5)*R65</f>
        <v>16</v>
      </c>
      <c r="W65" s="1">
        <f>+VLOOKUP(S65,Atributos!$P$2:$W$5,6)*R65</f>
        <v>32</v>
      </c>
      <c r="X65" s="1">
        <f>+VLOOKUP(S65,Atributos!$P$2:$W$5,7)*R65</f>
        <v>8</v>
      </c>
      <c r="Y65" s="1">
        <f>+VLOOKUP(S65,Atributos!$P$2:$W$5,8)*R65</f>
        <v>8</v>
      </c>
    </row>
    <row r="66" spans="1:25" ht="84" x14ac:dyDescent="0.25">
      <c r="A66" s="2" t="s">
        <v>57</v>
      </c>
      <c r="B66" s="2" t="s">
        <v>476</v>
      </c>
      <c r="C66" s="2" t="s">
        <v>489</v>
      </c>
      <c r="D66" s="4"/>
      <c r="E66" s="16" t="s">
        <v>490</v>
      </c>
      <c r="F66" s="16" t="s">
        <v>491</v>
      </c>
      <c r="G66" s="16" t="s">
        <v>492</v>
      </c>
      <c r="H66" s="16"/>
      <c r="I66" s="2" t="s">
        <v>76</v>
      </c>
      <c r="J66" s="16"/>
      <c r="K66" s="2" t="s">
        <v>151</v>
      </c>
      <c r="L66" s="4"/>
      <c r="M66" s="3">
        <v>2</v>
      </c>
      <c r="N66" s="2"/>
      <c r="O66" s="2"/>
      <c r="P66" s="2" t="s">
        <v>81</v>
      </c>
      <c r="Q66" s="2"/>
      <c r="R66" s="1">
        <v>1</v>
      </c>
      <c r="S66" s="1" t="s">
        <v>41</v>
      </c>
      <c r="T66" s="1">
        <f>+VLOOKUP(S66,Atributos!$P$2:$W$5,3)*R66</f>
        <v>1</v>
      </c>
      <c r="U66" s="1">
        <f>+VLOOKUP(S66,Atributos!$P$2:$W$5,4)*R66</f>
        <v>2</v>
      </c>
      <c r="V66" s="1">
        <f>+VLOOKUP(S66,Atributos!$P$2:$W$5,5)*R66</f>
        <v>16</v>
      </c>
      <c r="W66" s="1">
        <f>+VLOOKUP(S66,Atributos!$P$2:$W$5,6)*R66</f>
        <v>32</v>
      </c>
      <c r="X66" s="1">
        <f>+VLOOKUP(S66,Atributos!$P$2:$W$5,7)*R66</f>
        <v>8</v>
      </c>
      <c r="Y66" s="1">
        <f>+VLOOKUP(S66,Atributos!$P$2:$W$5,8)*R66</f>
        <v>8</v>
      </c>
    </row>
    <row r="67" spans="1:25" ht="72" x14ac:dyDescent="0.25">
      <c r="A67" s="2" t="s">
        <v>57</v>
      </c>
      <c r="B67" s="2" t="s">
        <v>476</v>
      </c>
      <c r="C67" s="2" t="s">
        <v>493</v>
      </c>
      <c r="D67" s="4"/>
      <c r="E67" s="16" t="s">
        <v>494</v>
      </c>
      <c r="F67" s="16" t="s">
        <v>495</v>
      </c>
      <c r="G67" s="16"/>
      <c r="H67" s="16" t="s">
        <v>496</v>
      </c>
      <c r="I67" s="2" t="s">
        <v>76</v>
      </c>
      <c r="J67" s="16"/>
      <c r="K67" s="16"/>
      <c r="L67" s="4"/>
      <c r="M67" s="3">
        <v>2</v>
      </c>
      <c r="N67" s="2"/>
      <c r="O67" s="2"/>
      <c r="P67" s="2" t="s">
        <v>81</v>
      </c>
      <c r="Q67" s="2"/>
      <c r="R67" s="1">
        <v>1</v>
      </c>
      <c r="S67" s="1" t="s">
        <v>48</v>
      </c>
      <c r="T67" s="1">
        <f>+VLOOKUP(S67,Atributos!$P$2:$W$5,3)*R67</f>
        <v>1</v>
      </c>
      <c r="U67" s="1">
        <f>+VLOOKUP(S67,Atributos!$P$2:$W$5,4)*R67</f>
        <v>2</v>
      </c>
      <c r="V67" s="1">
        <f>+VLOOKUP(S67,Atributos!$P$2:$W$5,5)*R67</f>
        <v>4</v>
      </c>
      <c r="W67" s="1">
        <f>+VLOOKUP(S67,Atributos!$P$2:$W$5,6)*R67</f>
        <v>16</v>
      </c>
      <c r="X67" s="1">
        <f>+VLOOKUP(S67,Atributos!$P$2:$W$5,7)*R67</f>
        <v>0</v>
      </c>
      <c r="Y67" s="1">
        <f>+VLOOKUP(S67,Atributos!$P$2:$W$5,8)*R67</f>
        <v>8</v>
      </c>
    </row>
    <row r="68" spans="1:25" ht="84" x14ac:dyDescent="0.2">
      <c r="A68" s="2" t="s">
        <v>43</v>
      </c>
      <c r="B68" s="2" t="s">
        <v>152</v>
      </c>
      <c r="C68" s="2" t="s">
        <v>497</v>
      </c>
      <c r="D68" s="2"/>
      <c r="E68" s="2" t="s">
        <v>498</v>
      </c>
      <c r="F68" s="25" t="s">
        <v>499</v>
      </c>
      <c r="G68" s="2" t="s">
        <v>500</v>
      </c>
      <c r="H68" s="2"/>
      <c r="I68" s="2" t="s">
        <v>53</v>
      </c>
      <c r="J68" s="2" t="s">
        <v>501</v>
      </c>
      <c r="K68" s="2"/>
      <c r="L68" s="2"/>
      <c r="M68" s="3">
        <v>2</v>
      </c>
      <c r="N68" s="2" t="s">
        <v>502</v>
      </c>
      <c r="O68" s="2"/>
      <c r="P68" s="2" t="s">
        <v>81</v>
      </c>
      <c r="Q68" s="2"/>
      <c r="R68" s="1">
        <v>1</v>
      </c>
      <c r="S68" s="1" t="s">
        <v>31</v>
      </c>
      <c r="T68" s="1">
        <f>+VLOOKUP(S68,Atributos!$P$2:$W$5,3)*R68</f>
        <v>1</v>
      </c>
      <c r="U68" s="1">
        <f>+VLOOKUP(S68,Atributos!$P$2:$W$5,4)*R68</f>
        <v>1</v>
      </c>
      <c r="V68" s="1">
        <f>+VLOOKUP(S68,Atributos!$P$2:$W$5,5)*R68</f>
        <v>8</v>
      </c>
      <c r="W68" s="1">
        <f>+VLOOKUP(S68,Atributos!$P$2:$W$5,6)*R68</f>
        <v>8</v>
      </c>
      <c r="X68" s="1">
        <f>+VLOOKUP(S68,Atributos!$P$2:$W$5,7)*R68</f>
        <v>8</v>
      </c>
      <c r="Y68" s="1">
        <f>+VLOOKUP(S68,Atributos!$P$2:$W$5,8)*R68</f>
        <v>0</v>
      </c>
    </row>
    <row r="69" spans="1:25" ht="84" x14ac:dyDescent="0.25">
      <c r="A69" s="2" t="s">
        <v>43</v>
      </c>
      <c r="B69" s="2" t="s">
        <v>503</v>
      </c>
      <c r="C69" s="2" t="s">
        <v>504</v>
      </c>
      <c r="D69" s="2" t="s">
        <v>505</v>
      </c>
      <c r="E69" s="2" t="s">
        <v>506</v>
      </c>
      <c r="F69" s="2" t="s">
        <v>507</v>
      </c>
      <c r="G69" s="2" t="s">
        <v>508</v>
      </c>
      <c r="H69" s="2" t="s">
        <v>509</v>
      </c>
      <c r="I69" s="2" t="s">
        <v>53</v>
      </c>
      <c r="J69" s="2" t="s">
        <v>501</v>
      </c>
      <c r="K69" s="2" t="s">
        <v>151</v>
      </c>
      <c r="L69" s="2"/>
      <c r="M69" s="3">
        <v>2</v>
      </c>
      <c r="N69" s="2"/>
      <c r="O69" s="2"/>
      <c r="P69" s="2" t="s">
        <v>81</v>
      </c>
      <c r="Q69" s="2"/>
      <c r="R69" s="1">
        <v>1</v>
      </c>
      <c r="S69" s="1" t="s">
        <v>41</v>
      </c>
      <c r="T69" s="1">
        <f>+VLOOKUP(S69,Atributos!$P$2:$W$5,3)*R69</f>
        <v>1</v>
      </c>
      <c r="U69" s="1">
        <f>+VLOOKUP(S69,Atributos!$P$2:$W$5,4)*R69</f>
        <v>2</v>
      </c>
      <c r="V69" s="1">
        <f>+VLOOKUP(S69,Atributos!$P$2:$W$5,5)*R69</f>
        <v>16</v>
      </c>
      <c r="W69" s="1">
        <f>+VLOOKUP(S69,Atributos!$P$2:$W$5,6)*R69</f>
        <v>32</v>
      </c>
      <c r="X69" s="1">
        <f>+VLOOKUP(S69,Atributos!$P$2:$W$5,7)*R69</f>
        <v>8</v>
      </c>
      <c r="Y69" s="1">
        <f>+VLOOKUP(S69,Atributos!$P$2:$W$5,8)*R69</f>
        <v>8</v>
      </c>
    </row>
    <row r="70" spans="1:25" ht="96" x14ac:dyDescent="0.2">
      <c r="A70" s="2" t="s">
        <v>43</v>
      </c>
      <c r="B70" s="2" t="s">
        <v>503</v>
      </c>
      <c r="C70" s="2" t="s">
        <v>510</v>
      </c>
      <c r="D70" s="17" t="s">
        <v>511</v>
      </c>
      <c r="E70" s="2" t="s">
        <v>506</v>
      </c>
      <c r="F70" s="25" t="s">
        <v>512</v>
      </c>
      <c r="G70" s="2" t="s">
        <v>513</v>
      </c>
      <c r="H70" s="2" t="s">
        <v>514</v>
      </c>
      <c r="I70" s="2" t="s">
        <v>53</v>
      </c>
      <c r="J70" s="2" t="s">
        <v>501</v>
      </c>
      <c r="K70" s="2" t="s">
        <v>151</v>
      </c>
      <c r="L70" s="2"/>
      <c r="M70" s="3">
        <v>2</v>
      </c>
      <c r="N70" s="2"/>
      <c r="O70" s="2"/>
      <c r="P70" s="2" t="s">
        <v>81</v>
      </c>
      <c r="Q70" s="2"/>
      <c r="R70" s="1">
        <v>1</v>
      </c>
      <c r="S70" s="1" t="s">
        <v>41</v>
      </c>
      <c r="T70" s="1">
        <f>+VLOOKUP(S70,Atributos!$P$2:$W$5,3)*R70</f>
        <v>1</v>
      </c>
      <c r="U70" s="1">
        <f>+VLOOKUP(S70,Atributos!$P$2:$W$5,4)*R70</f>
        <v>2</v>
      </c>
      <c r="V70" s="1">
        <f>+VLOOKUP(S70,Atributos!$P$2:$W$5,5)*R70</f>
        <v>16</v>
      </c>
      <c r="W70" s="1">
        <f>+VLOOKUP(S70,Atributos!$P$2:$W$5,6)*R70</f>
        <v>32</v>
      </c>
      <c r="X70" s="1">
        <f>+VLOOKUP(S70,Atributos!$P$2:$W$5,7)*R70</f>
        <v>8</v>
      </c>
      <c r="Y70" s="1">
        <f>+VLOOKUP(S70,Atributos!$P$2:$W$5,8)*R70</f>
        <v>8</v>
      </c>
    </row>
    <row r="71" spans="1:25" ht="84" x14ac:dyDescent="0.25">
      <c r="A71" s="2" t="s">
        <v>43</v>
      </c>
      <c r="B71" s="2" t="s">
        <v>503</v>
      </c>
      <c r="C71" s="2" t="s">
        <v>515</v>
      </c>
      <c r="D71" s="2" t="s">
        <v>516</v>
      </c>
      <c r="E71" s="2" t="s">
        <v>506</v>
      </c>
      <c r="F71" s="2" t="s">
        <v>517</v>
      </c>
      <c r="G71" s="2"/>
      <c r="H71" s="2"/>
      <c r="I71" s="2" t="s">
        <v>53</v>
      </c>
      <c r="J71" s="2" t="s">
        <v>501</v>
      </c>
      <c r="K71" s="2" t="s">
        <v>151</v>
      </c>
      <c r="L71" s="2"/>
      <c r="M71" s="3">
        <v>2</v>
      </c>
      <c r="N71" s="2"/>
      <c r="O71" s="2"/>
      <c r="P71" s="2" t="s">
        <v>74</v>
      </c>
      <c r="Q71" s="2"/>
      <c r="R71" s="1">
        <v>1</v>
      </c>
      <c r="S71" s="1" t="s">
        <v>41</v>
      </c>
      <c r="T71" s="1">
        <f>+VLOOKUP(S71,Atributos!$P$2:$W$5,3)*R71</f>
        <v>1</v>
      </c>
      <c r="U71" s="1">
        <f>+VLOOKUP(S71,Atributos!$P$2:$W$5,4)*R71</f>
        <v>2</v>
      </c>
      <c r="V71" s="1">
        <f>+VLOOKUP(S71,Atributos!$P$2:$W$5,5)*R71</f>
        <v>16</v>
      </c>
      <c r="W71" s="1">
        <f>+VLOOKUP(S71,Atributos!$P$2:$W$5,6)*R71</f>
        <v>32</v>
      </c>
      <c r="X71" s="1">
        <f>+VLOOKUP(S71,Atributos!$P$2:$W$5,7)*R71</f>
        <v>8</v>
      </c>
      <c r="Y71" s="1">
        <f>+VLOOKUP(S71,Atributos!$P$2:$W$5,8)*R71</f>
        <v>8</v>
      </c>
    </row>
    <row r="72" spans="1:25" ht="60" x14ac:dyDescent="0.25">
      <c r="A72" s="2" t="s">
        <v>43</v>
      </c>
      <c r="B72" s="2" t="s">
        <v>503</v>
      </c>
      <c r="C72" s="2" t="s">
        <v>518</v>
      </c>
      <c r="D72" s="2" t="s">
        <v>519</v>
      </c>
      <c r="E72" s="2" t="s">
        <v>520</v>
      </c>
      <c r="F72" s="2" t="s">
        <v>521</v>
      </c>
      <c r="G72" s="2"/>
      <c r="H72" s="2"/>
      <c r="I72" s="2" t="s">
        <v>53</v>
      </c>
      <c r="J72" s="2"/>
      <c r="K72" s="2" t="s">
        <v>151</v>
      </c>
      <c r="L72" s="2"/>
      <c r="M72" s="3"/>
      <c r="N72" s="2"/>
      <c r="O72" s="2"/>
      <c r="P72" s="2" t="s">
        <v>74</v>
      </c>
      <c r="Q72" s="2"/>
      <c r="R72" s="1">
        <v>1</v>
      </c>
      <c r="S72" s="1" t="s">
        <v>41</v>
      </c>
      <c r="T72" s="1">
        <f>+VLOOKUP(S72,Atributos!$P$2:$W$5,3)*R72</f>
        <v>1</v>
      </c>
      <c r="U72" s="1">
        <f>+VLOOKUP(S72,Atributos!$P$2:$W$5,4)*R72</f>
        <v>2</v>
      </c>
      <c r="V72" s="1">
        <f>+VLOOKUP(S72,Atributos!$P$2:$W$5,5)*R72</f>
        <v>16</v>
      </c>
      <c r="W72" s="1">
        <f>+VLOOKUP(S72,Atributos!$P$2:$W$5,6)*R72</f>
        <v>32</v>
      </c>
      <c r="X72" s="1">
        <f>+VLOOKUP(S72,Atributos!$P$2:$W$5,7)*R72</f>
        <v>8</v>
      </c>
      <c r="Y72" s="1">
        <f>+VLOOKUP(S72,Atributos!$P$2:$W$5,8)*R72</f>
        <v>8</v>
      </c>
    </row>
    <row r="73" spans="1:25" ht="60" x14ac:dyDescent="0.25">
      <c r="A73" s="2" t="s">
        <v>43</v>
      </c>
      <c r="B73" s="2" t="s">
        <v>503</v>
      </c>
      <c r="C73" s="2" t="s">
        <v>522</v>
      </c>
      <c r="D73" s="2" t="s">
        <v>523</v>
      </c>
      <c r="E73" s="2" t="s">
        <v>520</v>
      </c>
      <c r="F73" s="2" t="s">
        <v>524</v>
      </c>
      <c r="G73" s="2"/>
      <c r="H73" s="2"/>
      <c r="I73" s="2" t="s">
        <v>53</v>
      </c>
      <c r="J73" s="2"/>
      <c r="K73" s="2" t="s">
        <v>151</v>
      </c>
      <c r="L73" s="2"/>
      <c r="M73" s="3"/>
      <c r="N73" s="2"/>
      <c r="O73" s="2"/>
      <c r="P73" s="2" t="s">
        <v>74</v>
      </c>
      <c r="Q73" s="2"/>
      <c r="R73" s="1">
        <v>1</v>
      </c>
      <c r="S73" s="1" t="s">
        <v>41</v>
      </c>
      <c r="T73" s="1">
        <f>+VLOOKUP(S73,Atributos!$P$2:$W$5,3)*R73</f>
        <v>1</v>
      </c>
      <c r="U73" s="1">
        <f>+VLOOKUP(S73,Atributos!$P$2:$W$5,4)*R73</f>
        <v>2</v>
      </c>
      <c r="V73" s="1">
        <f>+VLOOKUP(S73,Atributos!$P$2:$W$5,5)*R73</f>
        <v>16</v>
      </c>
      <c r="W73" s="1">
        <f>+VLOOKUP(S73,Atributos!$P$2:$W$5,6)*R73</f>
        <v>32</v>
      </c>
      <c r="X73" s="1">
        <f>+VLOOKUP(S73,Atributos!$P$2:$W$5,7)*R73</f>
        <v>8</v>
      </c>
      <c r="Y73" s="1">
        <f>+VLOOKUP(S73,Atributos!$P$2:$W$5,8)*R73</f>
        <v>8</v>
      </c>
    </row>
    <row r="74" spans="1:25" ht="60" x14ac:dyDescent="0.25">
      <c r="A74" s="2" t="s">
        <v>43</v>
      </c>
      <c r="B74" s="2" t="s">
        <v>503</v>
      </c>
      <c r="C74" s="2" t="s">
        <v>525</v>
      </c>
      <c r="D74" s="2" t="s">
        <v>526</v>
      </c>
      <c r="E74" s="2" t="s">
        <v>520</v>
      </c>
      <c r="F74" s="2" t="s">
        <v>527</v>
      </c>
      <c r="G74" s="2"/>
      <c r="H74" s="2"/>
      <c r="I74" s="2" t="s">
        <v>53</v>
      </c>
      <c r="J74" s="2"/>
      <c r="K74" s="2" t="s">
        <v>151</v>
      </c>
      <c r="L74" s="2"/>
      <c r="M74" s="3"/>
      <c r="N74" s="2"/>
      <c r="O74" s="2"/>
      <c r="P74" s="2" t="s">
        <v>74</v>
      </c>
      <c r="Q74" s="2"/>
      <c r="R74" s="1">
        <v>1</v>
      </c>
      <c r="S74" s="1" t="s">
        <v>41</v>
      </c>
      <c r="T74" s="1">
        <f>+VLOOKUP(S74,Atributos!$P$2:$W$5,3)*R74</f>
        <v>1</v>
      </c>
      <c r="U74" s="1">
        <f>+VLOOKUP(S74,Atributos!$P$2:$W$5,4)*R74</f>
        <v>2</v>
      </c>
      <c r="V74" s="1">
        <f>+VLOOKUP(S74,Atributos!$P$2:$W$5,5)*R74</f>
        <v>16</v>
      </c>
      <c r="W74" s="1">
        <f>+VLOOKUP(S74,Atributos!$P$2:$W$5,6)*R74</f>
        <v>32</v>
      </c>
      <c r="X74" s="1">
        <f>+VLOOKUP(S74,Atributos!$P$2:$W$5,7)*R74</f>
        <v>8</v>
      </c>
      <c r="Y74" s="1">
        <f>+VLOOKUP(S74,Atributos!$P$2:$W$5,8)*R74</f>
        <v>8</v>
      </c>
    </row>
    <row r="75" spans="1:25" ht="60" x14ac:dyDescent="0.25">
      <c r="A75" s="2" t="s">
        <v>43</v>
      </c>
      <c r="B75" s="2" t="s">
        <v>503</v>
      </c>
      <c r="C75" s="2" t="s">
        <v>528</v>
      </c>
      <c r="D75" s="2" t="s">
        <v>529</v>
      </c>
      <c r="E75" s="2" t="s">
        <v>530</v>
      </c>
      <c r="F75" s="2" t="s">
        <v>531</v>
      </c>
      <c r="G75" s="2"/>
      <c r="H75" s="2"/>
      <c r="I75" s="2" t="s">
        <v>53</v>
      </c>
      <c r="J75" s="2"/>
      <c r="K75" s="2" t="s">
        <v>151</v>
      </c>
      <c r="L75" s="2"/>
      <c r="M75" s="3"/>
      <c r="N75" s="2"/>
      <c r="O75" s="2"/>
      <c r="P75" s="2" t="s">
        <v>74</v>
      </c>
      <c r="Q75" s="2"/>
      <c r="R75" s="1">
        <v>1</v>
      </c>
      <c r="S75" s="1" t="s">
        <v>41</v>
      </c>
      <c r="T75" s="1">
        <f>+VLOOKUP(S75,Atributos!$P$2:$W$5,3)*R75</f>
        <v>1</v>
      </c>
      <c r="U75" s="1">
        <f>+VLOOKUP(S75,Atributos!$P$2:$W$5,4)*R75</f>
        <v>2</v>
      </c>
      <c r="V75" s="1">
        <f>+VLOOKUP(S75,Atributos!$P$2:$W$5,5)*R75</f>
        <v>16</v>
      </c>
      <c r="W75" s="1">
        <f>+VLOOKUP(S75,Atributos!$P$2:$W$5,6)*R75</f>
        <v>32</v>
      </c>
      <c r="X75" s="1">
        <f>+VLOOKUP(S75,Atributos!$P$2:$W$5,7)*R75</f>
        <v>8</v>
      </c>
      <c r="Y75" s="1">
        <f>+VLOOKUP(S75,Atributos!$P$2:$W$5,8)*R75</f>
        <v>8</v>
      </c>
    </row>
    <row r="76" spans="1:25" ht="144" x14ac:dyDescent="0.25">
      <c r="A76" s="2" t="s">
        <v>61</v>
      </c>
      <c r="B76" s="2" t="s">
        <v>33</v>
      </c>
      <c r="C76" s="2" t="s">
        <v>532</v>
      </c>
      <c r="D76" s="4"/>
      <c r="E76" s="2" t="s">
        <v>533</v>
      </c>
      <c r="F76" s="2" t="s">
        <v>534</v>
      </c>
      <c r="G76" s="2"/>
      <c r="H76" s="2"/>
      <c r="I76" s="2" t="s">
        <v>78</v>
      </c>
      <c r="J76" s="2" t="s">
        <v>151</v>
      </c>
      <c r="K76" s="2"/>
      <c r="L76" s="4"/>
      <c r="M76" s="3">
        <v>1</v>
      </c>
      <c r="N76" s="2"/>
      <c r="O76" s="2"/>
      <c r="P76" s="2" t="s">
        <v>81</v>
      </c>
      <c r="Q76" s="2"/>
      <c r="R76" s="1">
        <v>1</v>
      </c>
      <c r="S76" s="1" t="s">
        <v>33</v>
      </c>
      <c r="T76" s="1">
        <f>+VLOOKUP(S76,Atributos!$P$2:$W$5,3)*R76</f>
        <v>1</v>
      </c>
      <c r="U76" s="1">
        <f>+VLOOKUP(S76,Atributos!$P$2:$W$5,4)*R76</f>
        <v>1</v>
      </c>
      <c r="V76" s="1">
        <f>+VLOOKUP(S76,Atributos!$P$2:$W$5,5)*R76</f>
        <v>4</v>
      </c>
      <c r="W76" s="1">
        <f>+VLOOKUP(S76,Atributos!$P$2:$W$5,6)*R76</f>
        <v>4</v>
      </c>
      <c r="X76" s="1">
        <f>+VLOOKUP(S76,Atributos!$P$2:$W$5,7)*R76</f>
        <v>0</v>
      </c>
      <c r="Y76" s="1">
        <f>+VLOOKUP(S76,Atributos!$P$2:$W$5,8)*R76</f>
        <v>0</v>
      </c>
    </row>
    <row r="77" spans="1:25" ht="120" x14ac:dyDescent="0.25">
      <c r="A77" s="2" t="s">
        <v>61</v>
      </c>
      <c r="B77" s="2" t="s">
        <v>152</v>
      </c>
      <c r="C77" s="2" t="s">
        <v>535</v>
      </c>
      <c r="D77" s="4"/>
      <c r="E77" s="2" t="s">
        <v>536</v>
      </c>
      <c r="F77" s="2" t="s">
        <v>537</v>
      </c>
      <c r="G77" s="2" t="s">
        <v>538</v>
      </c>
      <c r="H77" s="2"/>
      <c r="I77" s="2" t="s">
        <v>78</v>
      </c>
      <c r="J77" s="2" t="s">
        <v>539</v>
      </c>
      <c r="K77" s="2" t="s">
        <v>151</v>
      </c>
      <c r="L77" s="4"/>
      <c r="M77" s="3">
        <v>1</v>
      </c>
      <c r="N77" s="2"/>
      <c r="O77" s="2" t="s">
        <v>540</v>
      </c>
      <c r="P77" s="2" t="s">
        <v>81</v>
      </c>
      <c r="Q77" s="2"/>
      <c r="R77" s="1">
        <v>1</v>
      </c>
      <c r="S77" s="1" t="s">
        <v>31</v>
      </c>
      <c r="T77" s="1">
        <f>+VLOOKUP(S77,Atributos!$P$2:$W$5,3)*R77</f>
        <v>1</v>
      </c>
      <c r="U77" s="1">
        <f>+VLOOKUP(S77,Atributos!$P$2:$W$5,4)*R77</f>
        <v>1</v>
      </c>
      <c r="V77" s="1">
        <f>+VLOOKUP(S77,Atributos!$P$2:$W$5,5)*R77</f>
        <v>8</v>
      </c>
      <c r="W77" s="1">
        <f>+VLOOKUP(S77,Atributos!$P$2:$W$5,6)*R77</f>
        <v>8</v>
      </c>
      <c r="X77" s="1">
        <f>+VLOOKUP(S77,Atributos!$P$2:$W$5,7)*R77</f>
        <v>8</v>
      </c>
      <c r="Y77" s="1">
        <f>+VLOOKUP(S77,Atributos!$P$2:$W$5,8)*R77</f>
        <v>0</v>
      </c>
    </row>
    <row r="78" spans="1:25" ht="372" x14ac:dyDescent="0.25">
      <c r="A78" s="2" t="s">
        <v>61</v>
      </c>
      <c r="B78" s="2" t="s">
        <v>152</v>
      </c>
      <c r="C78" s="2" t="s">
        <v>541</v>
      </c>
      <c r="D78" s="4" t="s">
        <v>542</v>
      </c>
      <c r="E78" s="2" t="s">
        <v>543</v>
      </c>
      <c r="F78" s="2" t="s">
        <v>544</v>
      </c>
      <c r="G78" s="3" t="s">
        <v>545</v>
      </c>
      <c r="H78" s="3"/>
      <c r="I78" s="2" t="s">
        <v>78</v>
      </c>
      <c r="J78" s="2" t="s">
        <v>299</v>
      </c>
      <c r="K78" s="2" t="s">
        <v>151</v>
      </c>
      <c r="L78" s="4"/>
      <c r="M78" s="3">
        <v>1</v>
      </c>
      <c r="N78" s="2"/>
      <c r="O78" s="2" t="s">
        <v>546</v>
      </c>
      <c r="P78" s="2" t="s">
        <v>81</v>
      </c>
      <c r="Q78" s="2"/>
      <c r="R78" s="1">
        <v>1</v>
      </c>
      <c r="S78" s="1" t="s">
        <v>31</v>
      </c>
      <c r="T78" s="1">
        <f>+VLOOKUP(S78,Atributos!$P$2:$W$5,3)*R78</f>
        <v>1</v>
      </c>
      <c r="U78" s="1">
        <f>+VLOOKUP(S78,Atributos!$P$2:$W$5,4)*R78</f>
        <v>1</v>
      </c>
      <c r="V78" s="1">
        <f>+VLOOKUP(S78,Atributos!$P$2:$W$5,5)*R78</f>
        <v>8</v>
      </c>
      <c r="W78" s="1">
        <f>+VLOOKUP(S78,Atributos!$P$2:$W$5,6)*R78</f>
        <v>8</v>
      </c>
      <c r="X78" s="1">
        <f>+VLOOKUP(S78,Atributos!$P$2:$W$5,7)*R78</f>
        <v>8</v>
      </c>
      <c r="Y78" s="1">
        <f>+VLOOKUP(S78,Atributos!$P$2:$W$5,8)*R78</f>
        <v>0</v>
      </c>
    </row>
    <row r="79" spans="1:25" ht="180" x14ac:dyDescent="0.25">
      <c r="A79" s="2" t="s">
        <v>61</v>
      </c>
      <c r="B79" s="2" t="s">
        <v>547</v>
      </c>
      <c r="C79" s="2" t="s">
        <v>548</v>
      </c>
      <c r="D79" s="4" t="s">
        <v>549</v>
      </c>
      <c r="E79" s="2" t="s">
        <v>550</v>
      </c>
      <c r="F79" s="2" t="s">
        <v>551</v>
      </c>
      <c r="G79" s="2" t="s">
        <v>552</v>
      </c>
      <c r="H79" s="2" t="s">
        <v>553</v>
      </c>
      <c r="I79" s="2" t="s">
        <v>78</v>
      </c>
      <c r="J79" s="2" t="s">
        <v>299</v>
      </c>
      <c r="K79" s="2" t="s">
        <v>151</v>
      </c>
      <c r="L79" s="4" t="s">
        <v>554</v>
      </c>
      <c r="M79" s="3">
        <v>1</v>
      </c>
      <c r="N79" s="2"/>
      <c r="O79" s="2"/>
      <c r="P79" s="2" t="s">
        <v>81</v>
      </c>
      <c r="Q79" s="2" t="s">
        <v>555</v>
      </c>
      <c r="R79" s="1">
        <v>1</v>
      </c>
      <c r="S79" s="1" t="s">
        <v>41</v>
      </c>
      <c r="T79" s="1">
        <f>+VLOOKUP(S79,Atributos!$P$2:$W$5,3)*R79</f>
        <v>1</v>
      </c>
      <c r="U79" s="1">
        <f>+VLOOKUP(S79,Atributos!$P$2:$W$5,4)*R79</f>
        <v>2</v>
      </c>
      <c r="V79" s="1">
        <f>+VLOOKUP(S79,Atributos!$P$2:$W$5,5)*R79</f>
        <v>16</v>
      </c>
      <c r="W79" s="1">
        <f>+VLOOKUP(S79,Atributos!$P$2:$W$5,6)*R79</f>
        <v>32</v>
      </c>
      <c r="X79" s="1">
        <f>+VLOOKUP(S79,Atributos!$P$2:$W$5,7)*R79</f>
        <v>8</v>
      </c>
      <c r="Y79" s="1">
        <f>+VLOOKUP(S79,Atributos!$P$2:$W$5,8)*R79</f>
        <v>8</v>
      </c>
    </row>
    <row r="80" spans="1:25" ht="24" x14ac:dyDescent="0.25">
      <c r="A80" s="2" t="s">
        <v>61</v>
      </c>
      <c r="B80" s="2" t="s">
        <v>547</v>
      </c>
      <c r="C80" s="2" t="s">
        <v>556</v>
      </c>
      <c r="D80" s="18"/>
      <c r="E80" s="14"/>
      <c r="F80" s="14"/>
      <c r="G80" s="19"/>
      <c r="H80" s="19"/>
      <c r="I80" s="2" t="s">
        <v>78</v>
      </c>
      <c r="J80" s="19"/>
      <c r="K80" s="19"/>
      <c r="L80" s="4"/>
      <c r="M80" s="3"/>
      <c r="N80" s="2"/>
      <c r="O80" s="2"/>
      <c r="P80" s="2" t="s">
        <v>81</v>
      </c>
      <c r="Q80" s="2"/>
      <c r="R80" s="1">
        <v>1</v>
      </c>
      <c r="S80" s="1" t="s">
        <v>41</v>
      </c>
      <c r="T80" s="1">
        <f>+VLOOKUP(S80,Atributos!$P$2:$W$5,3)*R80</f>
        <v>1</v>
      </c>
      <c r="U80" s="1">
        <f>+VLOOKUP(S80,Atributos!$P$2:$W$5,4)*R80</f>
        <v>2</v>
      </c>
      <c r="V80" s="1">
        <f>+VLOOKUP(S80,Atributos!$P$2:$W$5,5)*R80</f>
        <v>16</v>
      </c>
      <c r="W80" s="1">
        <f>+VLOOKUP(S80,Atributos!$P$2:$W$5,6)*R80</f>
        <v>32</v>
      </c>
      <c r="X80" s="1">
        <f>+VLOOKUP(S80,Atributos!$P$2:$W$5,7)*R80</f>
        <v>8</v>
      </c>
      <c r="Y80" s="1">
        <f>+VLOOKUP(S80,Atributos!$P$2:$W$5,8)*R80</f>
        <v>8</v>
      </c>
    </row>
    <row r="81" spans="1:25" ht="120" x14ac:dyDescent="0.25">
      <c r="A81" s="2" t="s">
        <v>61</v>
      </c>
      <c r="B81" s="2" t="s">
        <v>547</v>
      </c>
      <c r="C81" s="2" t="s">
        <v>557</v>
      </c>
      <c r="D81" s="4" t="s">
        <v>558</v>
      </c>
      <c r="E81" s="2" t="s">
        <v>559</v>
      </c>
      <c r="F81" s="2" t="s">
        <v>560</v>
      </c>
      <c r="G81" s="2" t="s">
        <v>561</v>
      </c>
      <c r="H81" s="2" t="s">
        <v>553</v>
      </c>
      <c r="I81" s="2" t="s">
        <v>78</v>
      </c>
      <c r="J81" s="2" t="s">
        <v>299</v>
      </c>
      <c r="K81" s="2" t="s">
        <v>151</v>
      </c>
      <c r="L81" s="4"/>
      <c r="M81" s="3">
        <v>1</v>
      </c>
      <c r="N81" s="2"/>
      <c r="O81" s="2"/>
      <c r="P81" s="2" t="s">
        <v>81</v>
      </c>
      <c r="Q81" s="2"/>
      <c r="R81" s="1">
        <v>1</v>
      </c>
      <c r="S81" s="1" t="s">
        <v>41</v>
      </c>
      <c r="T81" s="1">
        <f>+VLOOKUP(S81,Atributos!$P$2:$W$5,3)*R81</f>
        <v>1</v>
      </c>
      <c r="U81" s="1">
        <f>+VLOOKUP(S81,Atributos!$P$2:$W$5,4)*R81</f>
        <v>2</v>
      </c>
      <c r="V81" s="1">
        <f>+VLOOKUP(S81,Atributos!$P$2:$W$5,5)*R81</f>
        <v>16</v>
      </c>
      <c r="W81" s="1">
        <f>+VLOOKUP(S81,Atributos!$P$2:$W$5,6)*R81</f>
        <v>32</v>
      </c>
      <c r="X81" s="1">
        <f>+VLOOKUP(S81,Atributos!$P$2:$W$5,7)*R81</f>
        <v>8</v>
      </c>
      <c r="Y81" s="1">
        <f>+VLOOKUP(S81,Atributos!$P$2:$W$5,8)*R81</f>
        <v>8</v>
      </c>
    </row>
    <row r="82" spans="1:25" ht="108" x14ac:dyDescent="0.25">
      <c r="A82" s="2" t="s">
        <v>61</v>
      </c>
      <c r="B82" s="2" t="s">
        <v>547</v>
      </c>
      <c r="C82" s="2" t="s">
        <v>562</v>
      </c>
      <c r="D82" s="4" t="s">
        <v>563</v>
      </c>
      <c r="E82" s="2" t="s">
        <v>564</v>
      </c>
      <c r="F82" s="2" t="s">
        <v>565</v>
      </c>
      <c r="G82" s="2" t="s">
        <v>566</v>
      </c>
      <c r="H82" s="2" t="s">
        <v>553</v>
      </c>
      <c r="I82" s="2" t="s">
        <v>78</v>
      </c>
      <c r="J82" s="2" t="s">
        <v>299</v>
      </c>
      <c r="K82" s="2" t="s">
        <v>151</v>
      </c>
      <c r="L82" s="4"/>
      <c r="M82" s="3">
        <v>1</v>
      </c>
      <c r="N82" s="2"/>
      <c r="O82" s="2"/>
      <c r="P82" s="2" t="s">
        <v>81</v>
      </c>
      <c r="Q82" s="2"/>
      <c r="R82" s="1">
        <v>1</v>
      </c>
      <c r="S82" s="1" t="s">
        <v>41</v>
      </c>
      <c r="T82" s="1">
        <f>+VLOOKUP(S82,Atributos!$P$2:$W$5,3)*R82</f>
        <v>1</v>
      </c>
      <c r="U82" s="1">
        <f>+VLOOKUP(S82,Atributos!$P$2:$W$5,4)*R82</f>
        <v>2</v>
      </c>
      <c r="V82" s="1">
        <f>+VLOOKUP(S82,Atributos!$P$2:$W$5,5)*R82</f>
        <v>16</v>
      </c>
      <c r="W82" s="1">
        <f>+VLOOKUP(S82,Atributos!$P$2:$W$5,6)*R82</f>
        <v>32</v>
      </c>
      <c r="X82" s="1">
        <f>+VLOOKUP(S82,Atributos!$P$2:$W$5,7)*R82</f>
        <v>8</v>
      </c>
      <c r="Y82" s="1">
        <f>+VLOOKUP(S82,Atributos!$P$2:$W$5,8)*R82</f>
        <v>8</v>
      </c>
    </row>
    <row r="83" spans="1:25" ht="108" x14ac:dyDescent="0.25">
      <c r="A83" s="2" t="s">
        <v>61</v>
      </c>
      <c r="B83" s="2" t="s">
        <v>547</v>
      </c>
      <c r="C83" s="2" t="s">
        <v>567</v>
      </c>
      <c r="D83" s="4" t="s">
        <v>568</v>
      </c>
      <c r="E83" s="2" t="s">
        <v>569</v>
      </c>
      <c r="F83" s="2" t="s">
        <v>570</v>
      </c>
      <c r="G83" s="2" t="s">
        <v>571</v>
      </c>
      <c r="H83" s="2"/>
      <c r="I83" s="2" t="s">
        <v>78</v>
      </c>
      <c r="J83" s="2" t="s">
        <v>299</v>
      </c>
      <c r="K83" s="2" t="s">
        <v>151</v>
      </c>
      <c r="L83" s="4"/>
      <c r="M83" s="3">
        <v>1</v>
      </c>
      <c r="N83" s="2"/>
      <c r="O83" s="2"/>
      <c r="P83" s="2" t="s">
        <v>81</v>
      </c>
      <c r="Q83" s="2"/>
      <c r="R83" s="1">
        <v>1</v>
      </c>
      <c r="S83" s="1" t="s">
        <v>41</v>
      </c>
      <c r="T83" s="1">
        <f>+VLOOKUP(S83,Atributos!$P$2:$W$5,3)*R83</f>
        <v>1</v>
      </c>
      <c r="U83" s="1">
        <f>+VLOOKUP(S83,Atributos!$P$2:$W$5,4)*R83</f>
        <v>2</v>
      </c>
      <c r="V83" s="1">
        <f>+VLOOKUP(S83,Atributos!$P$2:$W$5,5)*R83</f>
        <v>16</v>
      </c>
      <c r="W83" s="1">
        <f>+VLOOKUP(S83,Atributos!$P$2:$W$5,6)*R83</f>
        <v>32</v>
      </c>
      <c r="X83" s="1">
        <f>+VLOOKUP(S83,Atributos!$P$2:$W$5,7)*R83</f>
        <v>8</v>
      </c>
      <c r="Y83" s="1">
        <f>+VLOOKUP(S83,Atributos!$P$2:$W$5,8)*R83</f>
        <v>8</v>
      </c>
    </row>
    <row r="84" spans="1:25" ht="192" x14ac:dyDescent="0.25">
      <c r="A84" s="2" t="s">
        <v>61</v>
      </c>
      <c r="B84" s="2" t="s">
        <v>547</v>
      </c>
      <c r="C84" s="2" t="s">
        <v>572</v>
      </c>
      <c r="D84" s="4"/>
      <c r="E84" s="2" t="s">
        <v>573</v>
      </c>
      <c r="F84" s="2" t="s">
        <v>574</v>
      </c>
      <c r="G84" s="2" t="s">
        <v>575</v>
      </c>
      <c r="H84" s="2" t="s">
        <v>576</v>
      </c>
      <c r="I84" s="2" t="s">
        <v>78</v>
      </c>
      <c r="J84" s="2" t="s">
        <v>299</v>
      </c>
      <c r="K84" s="2" t="s">
        <v>151</v>
      </c>
      <c r="L84" s="4" t="s">
        <v>577</v>
      </c>
      <c r="M84" s="3">
        <v>1</v>
      </c>
      <c r="N84" s="2"/>
      <c r="O84" s="2"/>
      <c r="P84" s="2" t="s">
        <v>81</v>
      </c>
      <c r="Q84" s="2"/>
      <c r="R84" s="1">
        <v>1</v>
      </c>
      <c r="S84" s="1" t="s">
        <v>41</v>
      </c>
      <c r="T84" s="1">
        <f>+VLOOKUP(S84,Atributos!$P$2:$W$5,3)*R84</f>
        <v>1</v>
      </c>
      <c r="U84" s="1">
        <f>+VLOOKUP(S84,Atributos!$P$2:$W$5,4)*R84</f>
        <v>2</v>
      </c>
      <c r="V84" s="1">
        <f>+VLOOKUP(S84,Atributos!$P$2:$W$5,5)*R84</f>
        <v>16</v>
      </c>
      <c r="W84" s="1">
        <f>+VLOOKUP(S84,Atributos!$P$2:$W$5,6)*R84</f>
        <v>32</v>
      </c>
      <c r="X84" s="1">
        <f>+VLOOKUP(S84,Atributos!$P$2:$W$5,7)*R84</f>
        <v>8</v>
      </c>
      <c r="Y84" s="1">
        <f>+VLOOKUP(S84,Atributos!$P$2:$W$5,8)*R84</f>
        <v>8</v>
      </c>
    </row>
    <row r="85" spans="1:25" ht="24" x14ac:dyDescent="0.25">
      <c r="A85" s="2" t="s">
        <v>61</v>
      </c>
      <c r="B85" s="2" t="s">
        <v>547</v>
      </c>
      <c r="C85" s="2" t="s">
        <v>578</v>
      </c>
      <c r="D85" s="4" t="s">
        <v>579</v>
      </c>
      <c r="E85" s="14"/>
      <c r="F85" s="14"/>
      <c r="G85" s="14"/>
      <c r="H85" s="14"/>
      <c r="I85" s="2" t="s">
        <v>78</v>
      </c>
      <c r="J85" s="14"/>
      <c r="K85" s="14"/>
      <c r="L85" s="4"/>
      <c r="M85" s="3"/>
      <c r="N85" s="2"/>
      <c r="O85" s="2"/>
      <c r="P85" s="2" t="s">
        <v>74</v>
      </c>
      <c r="Q85" s="2"/>
      <c r="R85" s="1">
        <v>1</v>
      </c>
      <c r="S85" s="1" t="s">
        <v>41</v>
      </c>
      <c r="T85" s="1">
        <f>+VLOOKUP(S85,Atributos!$P$2:$W$5,3)*R85</f>
        <v>1</v>
      </c>
      <c r="U85" s="1">
        <f>+VLOOKUP(S85,Atributos!$P$2:$W$5,4)*R85</f>
        <v>2</v>
      </c>
      <c r="V85" s="1">
        <f>+VLOOKUP(S85,Atributos!$P$2:$W$5,5)*R85</f>
        <v>16</v>
      </c>
      <c r="W85" s="1">
        <f>+VLOOKUP(S85,Atributos!$P$2:$W$5,6)*R85</f>
        <v>32</v>
      </c>
      <c r="X85" s="1">
        <f>+VLOOKUP(S85,Atributos!$P$2:$W$5,7)*R85</f>
        <v>8</v>
      </c>
      <c r="Y85" s="1">
        <f>+VLOOKUP(S85,Atributos!$P$2:$W$5,8)*R85</f>
        <v>8</v>
      </c>
    </row>
    <row r="86" spans="1:25" ht="300" x14ac:dyDescent="0.25">
      <c r="A86" s="2" t="s">
        <v>61</v>
      </c>
      <c r="B86" s="2" t="s">
        <v>547</v>
      </c>
      <c r="C86" s="2" t="s">
        <v>580</v>
      </c>
      <c r="D86" s="4" t="s">
        <v>581</v>
      </c>
      <c r="E86" s="2" t="s">
        <v>582</v>
      </c>
      <c r="F86" s="2" t="s">
        <v>583</v>
      </c>
      <c r="G86" s="2" t="s">
        <v>584</v>
      </c>
      <c r="H86" s="2"/>
      <c r="I86" s="2" t="s">
        <v>78</v>
      </c>
      <c r="J86" s="2" t="s">
        <v>299</v>
      </c>
      <c r="K86" s="2" t="s">
        <v>151</v>
      </c>
      <c r="L86" s="4" t="s">
        <v>585</v>
      </c>
      <c r="M86" s="3">
        <v>1</v>
      </c>
      <c r="N86" s="2"/>
      <c r="O86" s="2"/>
      <c r="P86" s="2" t="s">
        <v>81</v>
      </c>
      <c r="Q86" s="2"/>
      <c r="R86" s="1">
        <v>1</v>
      </c>
      <c r="S86" s="1" t="s">
        <v>41</v>
      </c>
      <c r="T86" s="1">
        <f>+VLOOKUP(S86,Atributos!$P$2:$W$5,3)*R86</f>
        <v>1</v>
      </c>
      <c r="U86" s="1">
        <f>+VLOOKUP(S86,Atributos!$P$2:$W$5,4)*R86</f>
        <v>2</v>
      </c>
      <c r="V86" s="1">
        <f>+VLOOKUP(S86,Atributos!$P$2:$W$5,5)*R86</f>
        <v>16</v>
      </c>
      <c r="W86" s="1">
        <f>+VLOOKUP(S86,Atributos!$P$2:$W$5,6)*R86</f>
        <v>32</v>
      </c>
      <c r="X86" s="1">
        <f>+VLOOKUP(S86,Atributos!$P$2:$W$5,7)*R86</f>
        <v>8</v>
      </c>
      <c r="Y86" s="1">
        <f>+VLOOKUP(S86,Atributos!$P$2:$W$5,8)*R86</f>
        <v>8</v>
      </c>
    </row>
    <row r="87" spans="1:25" ht="252" x14ac:dyDescent="0.25">
      <c r="A87" s="2" t="s">
        <v>61</v>
      </c>
      <c r="B87" s="2" t="s">
        <v>547</v>
      </c>
      <c r="C87" s="8" t="s">
        <v>586</v>
      </c>
      <c r="D87" s="18" t="s">
        <v>587</v>
      </c>
      <c r="E87" s="8" t="s">
        <v>588</v>
      </c>
      <c r="F87" s="8" t="s">
        <v>589</v>
      </c>
      <c r="G87" s="8" t="s">
        <v>590</v>
      </c>
      <c r="H87" s="8"/>
      <c r="I87" s="2" t="s">
        <v>78</v>
      </c>
      <c r="J87" s="8" t="s">
        <v>299</v>
      </c>
      <c r="K87" s="8" t="s">
        <v>151</v>
      </c>
      <c r="L87" s="18" t="s">
        <v>585</v>
      </c>
      <c r="M87" s="3">
        <v>1</v>
      </c>
      <c r="N87" s="2"/>
      <c r="O87" s="2"/>
      <c r="P87" s="2" t="s">
        <v>81</v>
      </c>
      <c r="Q87" s="8"/>
      <c r="R87" s="1">
        <v>1</v>
      </c>
      <c r="S87" s="1" t="s">
        <v>41</v>
      </c>
      <c r="T87" s="1">
        <f>+VLOOKUP(S87,Atributos!$P$2:$W$5,3)*R87</f>
        <v>1</v>
      </c>
      <c r="U87" s="1">
        <f>+VLOOKUP(S87,Atributos!$P$2:$W$5,4)*R87</f>
        <v>2</v>
      </c>
      <c r="V87" s="1">
        <f>+VLOOKUP(S87,Atributos!$P$2:$W$5,5)*R87</f>
        <v>16</v>
      </c>
      <c r="W87" s="1">
        <f>+VLOOKUP(S87,Atributos!$P$2:$W$5,6)*R87</f>
        <v>32</v>
      </c>
      <c r="X87" s="1">
        <f>+VLOOKUP(S87,Atributos!$P$2:$W$5,7)*R87</f>
        <v>8</v>
      </c>
      <c r="Y87" s="1">
        <f>+VLOOKUP(S87,Atributos!$P$2:$W$5,8)*R87</f>
        <v>8</v>
      </c>
    </row>
    <row r="88" spans="1:25" ht="252" x14ac:dyDescent="0.25">
      <c r="A88" s="2" t="s">
        <v>61</v>
      </c>
      <c r="B88" s="2" t="s">
        <v>547</v>
      </c>
      <c r="C88" s="8" t="s">
        <v>591</v>
      </c>
      <c r="D88" s="18" t="s">
        <v>587</v>
      </c>
      <c r="E88" s="71" t="s">
        <v>588</v>
      </c>
      <c r="F88" s="68" t="s">
        <v>589</v>
      </c>
      <c r="G88" s="68" t="s">
        <v>590</v>
      </c>
      <c r="H88" s="68"/>
      <c r="I88" s="69" t="s">
        <v>78</v>
      </c>
      <c r="J88" s="68" t="s">
        <v>299</v>
      </c>
      <c r="K88" s="68" t="s">
        <v>151</v>
      </c>
      <c r="L88" s="70" t="s">
        <v>585</v>
      </c>
      <c r="M88" s="3">
        <v>1</v>
      </c>
      <c r="N88" s="2"/>
      <c r="O88" s="2"/>
      <c r="P88" s="2" t="s">
        <v>81</v>
      </c>
      <c r="Q88" s="8"/>
      <c r="R88" s="1">
        <v>1</v>
      </c>
      <c r="S88" s="1" t="s">
        <v>41</v>
      </c>
      <c r="T88" s="1">
        <f>+VLOOKUP(S88,Atributos!$P$2:$W$5,3)*R88</f>
        <v>1</v>
      </c>
      <c r="U88" s="1">
        <f>+VLOOKUP(S88,Atributos!$P$2:$W$5,4)*R88</f>
        <v>2</v>
      </c>
      <c r="V88" s="1">
        <f>+VLOOKUP(S88,Atributos!$P$2:$W$5,5)*R88</f>
        <v>16</v>
      </c>
      <c r="W88" s="1">
        <f>+VLOOKUP(S88,Atributos!$P$2:$W$5,6)*R88</f>
        <v>32</v>
      </c>
      <c r="X88" s="1">
        <f>+VLOOKUP(S88,Atributos!$P$2:$W$5,7)*R88</f>
        <v>8</v>
      </c>
      <c r="Y88" s="1">
        <f>+VLOOKUP(S88,Atributos!$P$2:$W$5,8)*R88</f>
        <v>8</v>
      </c>
    </row>
    <row r="89" spans="1:25" ht="168" x14ac:dyDescent="0.25">
      <c r="A89" s="8" t="s">
        <v>61</v>
      </c>
      <c r="B89" s="8" t="s">
        <v>547</v>
      </c>
      <c r="C89" s="8" t="s">
        <v>592</v>
      </c>
      <c r="D89" s="18" t="s">
        <v>593</v>
      </c>
      <c r="E89" s="8" t="s">
        <v>594</v>
      </c>
      <c r="F89" s="8" t="s">
        <v>595</v>
      </c>
      <c r="G89" s="8" t="s">
        <v>596</v>
      </c>
      <c r="H89" s="8"/>
      <c r="I89" s="8" t="s">
        <v>78</v>
      </c>
      <c r="J89" s="8" t="s">
        <v>299</v>
      </c>
      <c r="K89" s="8" t="s">
        <v>151</v>
      </c>
      <c r="L89" s="18" t="s">
        <v>597</v>
      </c>
      <c r="M89" s="26">
        <v>1</v>
      </c>
      <c r="N89" s="8"/>
      <c r="O89" s="8"/>
      <c r="P89" s="8" t="s">
        <v>81</v>
      </c>
      <c r="Q89" s="8"/>
      <c r="R89" s="1">
        <v>1</v>
      </c>
      <c r="S89" s="1" t="s">
        <v>41</v>
      </c>
      <c r="T89" s="1">
        <f>+VLOOKUP(S89,Atributos!$P$2:$W$5,3)*R89</f>
        <v>1</v>
      </c>
      <c r="U89" s="1">
        <f>+VLOOKUP(S89,Atributos!$P$2:$W$5,4)*R89</f>
        <v>2</v>
      </c>
      <c r="V89" s="1">
        <f>+VLOOKUP(S89,Atributos!$P$2:$W$5,5)*R89</f>
        <v>16</v>
      </c>
      <c r="W89" s="1">
        <f>+VLOOKUP(S89,Atributos!$P$2:$W$5,6)*R89</f>
        <v>32</v>
      </c>
      <c r="X89" s="1">
        <f>+VLOOKUP(S89,Atributos!$P$2:$W$5,7)*R89</f>
        <v>8</v>
      </c>
      <c r="Y89" s="1">
        <f>+VLOOKUP(S89,Atributos!$P$2:$W$5,8)*R89</f>
        <v>8</v>
      </c>
    </row>
  </sheetData>
  <sheetProtection algorithmName="SHA-512" hashValue="fStcU795EwzovHViCNbR6Ry8ZUESivbnFoVxRqfjH3kIBZ33SR6gN9a4cfZwAd1T3onC0fN/aHtPElOjeRa6qQ==" saltValue="qhAPROA8e3hGgUrCr5iPZw==" spinCount="100000" sheet="1" objects="1" scenarios="1"/>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BF549EF5-D8D0-41CC-AAD0-F17C0F9A1E89}">
          <x14:formula1>
            <xm:f>Atributos!$L$5:$L$16</xm:f>
          </x14:formula1>
          <xm:sqref>I2:I89</xm:sqref>
        </x14:dataValidation>
        <x14:dataValidation type="list" allowBlank="1" showInputMessage="1" showErrorMessage="1" xr:uid="{BA3AE144-A8C9-46B9-B4FC-AB863111CAF0}">
          <x14:formula1>
            <xm:f>Atributos!$I$5:$I$10</xm:f>
          </x14:formula1>
          <xm:sqref>A2:A89</xm:sqref>
        </x14:dataValidation>
        <x14:dataValidation type="list" allowBlank="1" showInputMessage="1" showErrorMessage="1" xr:uid="{AD4CB8B2-9931-4707-A963-FFB81284E102}">
          <x14:formula1>
            <xm:f>Atributos!$A$13:$A$18</xm:f>
          </x14:formula1>
          <xm:sqref>P2:P89</xm:sqref>
        </x14:dataValidation>
        <x14:dataValidation type="list" allowBlank="1" showInputMessage="1" showErrorMessage="1" xr:uid="{FAAF4CD1-C739-4599-A8AB-DFE504D2DFA3}">
          <x14:formula1>
            <xm:f>Atributos!$P$2:$P$5</xm:f>
          </x14:formula1>
          <xm:sqref>S2:S89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8BE8B-AB27-4DFB-8988-F14B6E31ADAE}">
  <dimension ref="A1:AD95"/>
  <sheetViews>
    <sheetView showGridLines="0" tabSelected="1" topLeftCell="A66" zoomScale="84" zoomScaleNormal="84" workbookViewId="0">
      <selection activeCell="C53" sqref="C53:C67"/>
    </sheetView>
  </sheetViews>
  <sheetFormatPr baseColWidth="10" defaultColWidth="9.140625" defaultRowHeight="15" x14ac:dyDescent="0.25"/>
  <cols>
    <col min="1" max="1" width="23.42578125" customWidth="1"/>
    <col min="2" max="3" width="8.85546875" customWidth="1"/>
    <col min="4" max="4" width="15.140625" customWidth="1"/>
    <col min="5" max="5" width="35.5703125" customWidth="1"/>
    <col min="6" max="6" width="53.28515625" customWidth="1"/>
    <col min="7" max="7" width="21.140625" customWidth="1"/>
    <col min="8" max="8" width="22" customWidth="1"/>
    <col min="9" max="9" width="13.7109375" customWidth="1"/>
    <col min="10" max="10" width="15.85546875" customWidth="1"/>
    <col min="11" max="11" width="33.140625" style="23" customWidth="1"/>
    <col min="12" max="29" width="9.140625" hidden="1" customWidth="1"/>
    <col min="30" max="30" width="9.85546875" hidden="1" customWidth="1"/>
    <col min="31" max="32" width="9.140625" customWidth="1"/>
  </cols>
  <sheetData>
    <row r="1" spans="1:30" ht="2.25" customHeight="1" thickBot="1" x14ac:dyDescent="0.3">
      <c r="A1" s="28"/>
      <c r="B1" s="28"/>
      <c r="C1" s="28"/>
      <c r="D1" s="28"/>
      <c r="E1" s="28"/>
      <c r="G1" s="28"/>
      <c r="H1" s="28"/>
      <c r="I1" s="28"/>
      <c r="J1" s="28"/>
      <c r="L1" s="28"/>
      <c r="M1" s="28"/>
      <c r="N1" s="28"/>
      <c r="O1" s="28"/>
      <c r="P1" s="28"/>
      <c r="Q1" s="28"/>
    </row>
    <row r="2" spans="1:30" ht="15.75" customHeight="1" thickBot="1" x14ac:dyDescent="0.3">
      <c r="A2" s="76" t="s">
        <v>598</v>
      </c>
      <c r="B2" s="73"/>
      <c r="C2" s="108"/>
      <c r="D2" s="108"/>
      <c r="E2" s="102" t="s">
        <v>599</v>
      </c>
      <c r="F2" s="50" t="s">
        <v>92</v>
      </c>
      <c r="G2" s="51">
        <f>COUNTIF(I8:I94, "=01 Adoptar")</f>
        <v>43</v>
      </c>
      <c r="H2" s="52" t="s">
        <v>87</v>
      </c>
      <c r="I2" s="55">
        <f xml:space="preserve"> COUNTIFS(J8:J94,"=01 Baja",I8:I94, "&lt;&gt;04 Abstener")</f>
        <v>35</v>
      </c>
      <c r="K2" s="104">
        <f>(I2+2*I3+3*I4+I5*4)/SUM(I2:I5)</f>
        <v>1.36</v>
      </c>
      <c r="L2" s="53">
        <f>+MAX(L3:L5)</f>
        <v>4</v>
      </c>
      <c r="M2" s="53"/>
      <c r="N2" s="53"/>
      <c r="O2" s="53"/>
      <c r="P2" s="53"/>
      <c r="Q2" s="53"/>
    </row>
    <row r="3" spans="1:30" ht="15.75" customHeight="1" x14ac:dyDescent="0.25">
      <c r="A3" s="158">
        <f>(1/(0.618 + (2*G4+1*G3)/(G2+1*G3+2*G4)) - 0.618)</f>
        <v>0.67255114125208759</v>
      </c>
      <c r="B3" s="74"/>
      <c r="C3" s="28"/>
      <c r="D3" s="28"/>
      <c r="E3" s="161" t="str">
        <f>IF(K2 &lt; 1.1,"Baja",IF(K2 &lt; 2.1,"Media",IF(K2 &lt; 4.1,"Alta","Muy Alta")))</f>
        <v>Media</v>
      </c>
      <c r="F3" s="54" t="s">
        <v>93</v>
      </c>
      <c r="G3" s="48">
        <f>COUNTIF(I8:I94, "=02 Ajustar")</f>
        <v>6</v>
      </c>
      <c r="H3" s="49" t="s">
        <v>88</v>
      </c>
      <c r="I3" s="56">
        <f xml:space="preserve"> COUNTIFS(J8:J94,"=02 Media",I8:I94, "&lt;&gt;04 Abstener")</f>
        <v>12</v>
      </c>
      <c r="J3" s="103" t="s">
        <v>600</v>
      </c>
      <c r="K3" s="99" t="s">
        <v>97</v>
      </c>
      <c r="L3" s="101">
        <f>+VLOOKUP(K3,Atributos!A34:B37,2)</f>
        <v>2</v>
      </c>
      <c r="M3" s="37"/>
      <c r="N3" s="37"/>
      <c r="O3" s="37"/>
      <c r="P3" s="37"/>
      <c r="Q3" s="37"/>
    </row>
    <row r="4" spans="1:30" ht="15.75" customHeight="1" x14ac:dyDescent="0.25">
      <c r="A4" s="159"/>
      <c r="B4" s="74"/>
      <c r="C4" s="28"/>
      <c r="D4" s="28"/>
      <c r="E4" s="162"/>
      <c r="F4" s="54" t="s">
        <v>94</v>
      </c>
      <c r="G4" s="48">
        <f>COUNTIF(I8:I94, "=03 Agregar")</f>
        <v>1</v>
      </c>
      <c r="H4" s="49" t="s">
        <v>89</v>
      </c>
      <c r="I4" s="56">
        <f xml:space="preserve"> COUNTIFS(J8:J94,"=03 Alta",I8:I94, "&lt;&gt;04 Abstener")</f>
        <v>3</v>
      </c>
      <c r="J4" s="103" t="s">
        <v>601</v>
      </c>
      <c r="K4" s="99" t="s">
        <v>97</v>
      </c>
      <c r="L4" s="101">
        <f>+VLOOKUP(K4,Atributos!A34:B37,2)</f>
        <v>2</v>
      </c>
      <c r="M4" s="37"/>
      <c r="N4" s="37"/>
      <c r="O4" s="37"/>
      <c r="P4" s="37"/>
      <c r="Q4" s="37"/>
    </row>
    <row r="5" spans="1:30" ht="15.75" customHeight="1" thickBot="1" x14ac:dyDescent="0.3">
      <c r="A5" s="160"/>
      <c r="B5" s="75"/>
      <c r="C5" s="109"/>
      <c r="D5" s="109"/>
      <c r="E5" s="163"/>
      <c r="F5" s="57" t="s">
        <v>95</v>
      </c>
      <c r="G5" s="58">
        <f>COUNTIF(I8:I94, "=04 Abstener")</f>
        <v>37</v>
      </c>
      <c r="H5" s="59" t="s">
        <v>90</v>
      </c>
      <c r="I5" s="61">
        <f xml:space="preserve"> COUNTIFS(J8:J94,"=04 Muy Alta",I8:I94, "&lt;&gt;04 Abstener")</f>
        <v>0</v>
      </c>
      <c r="J5" s="103" t="s">
        <v>602</v>
      </c>
      <c r="K5" s="99" t="s">
        <v>104</v>
      </c>
      <c r="L5" s="101">
        <f>+VLOOKUP(K5,Atributos!A39:B43,2)</f>
        <v>4</v>
      </c>
      <c r="M5" s="60"/>
      <c r="N5" s="60"/>
      <c r="O5" s="60"/>
      <c r="P5" s="60"/>
      <c r="Q5" s="60"/>
      <c r="S5" t="s">
        <v>84</v>
      </c>
      <c r="Y5" t="s">
        <v>603</v>
      </c>
    </row>
    <row r="6" spans="1:30" ht="3.75" customHeight="1" x14ac:dyDescent="0.25">
      <c r="A6" s="81"/>
      <c r="B6" s="28"/>
      <c r="C6" s="28"/>
      <c r="D6" s="28"/>
      <c r="E6" s="28"/>
      <c r="F6" s="28"/>
      <c r="G6" s="28"/>
      <c r="H6" s="28"/>
      <c r="I6" s="28"/>
      <c r="J6" s="28"/>
      <c r="K6" s="98"/>
      <c r="L6" s="28"/>
      <c r="M6" s="28"/>
      <c r="N6" s="28"/>
      <c r="O6" s="28"/>
      <c r="P6" s="28"/>
      <c r="Q6" s="28"/>
    </row>
    <row r="7" spans="1:30" ht="25.5" customHeight="1" x14ac:dyDescent="0.25">
      <c r="A7" s="41" t="s">
        <v>128</v>
      </c>
      <c r="B7" s="41" t="s">
        <v>604</v>
      </c>
      <c r="C7" s="41" t="s">
        <v>671</v>
      </c>
      <c r="D7" s="41" t="s">
        <v>679</v>
      </c>
      <c r="E7" s="47" t="s">
        <v>130</v>
      </c>
      <c r="F7" s="47" t="s">
        <v>24</v>
      </c>
      <c r="G7" s="41" t="s">
        <v>131</v>
      </c>
      <c r="H7" s="41" t="s">
        <v>132</v>
      </c>
      <c r="I7" s="41" t="s">
        <v>91</v>
      </c>
      <c r="J7" s="41" t="s">
        <v>85</v>
      </c>
      <c r="K7" s="78" t="s">
        <v>605</v>
      </c>
      <c r="L7" s="41" t="s">
        <v>141</v>
      </c>
      <c r="M7" s="41" t="s">
        <v>142</v>
      </c>
      <c r="N7" s="41" t="s">
        <v>143</v>
      </c>
      <c r="O7" s="41" t="s">
        <v>144</v>
      </c>
      <c r="P7" s="41" t="s">
        <v>145</v>
      </c>
      <c r="Q7" s="41" t="s">
        <v>146</v>
      </c>
      <c r="R7" s="83" t="s">
        <v>606</v>
      </c>
      <c r="S7" s="41" t="s">
        <v>607</v>
      </c>
      <c r="T7" s="41" t="s">
        <v>608</v>
      </c>
      <c r="U7" s="41" t="s">
        <v>609</v>
      </c>
      <c r="V7" s="41" t="s">
        <v>610</v>
      </c>
      <c r="W7" s="41" t="s">
        <v>611</v>
      </c>
      <c r="X7" s="83" t="s">
        <v>612</v>
      </c>
      <c r="Y7" s="78" t="s">
        <v>613</v>
      </c>
      <c r="Z7" s="78" t="s">
        <v>614</v>
      </c>
      <c r="AA7" s="78" t="s">
        <v>615</v>
      </c>
      <c r="AB7" s="78" t="s">
        <v>616</v>
      </c>
      <c r="AC7" s="78" t="s">
        <v>146</v>
      </c>
      <c r="AD7" s="83" t="s">
        <v>606</v>
      </c>
    </row>
    <row r="8" spans="1:30" ht="150" customHeight="1" x14ac:dyDescent="0.25">
      <c r="A8" s="42" t="s">
        <v>147</v>
      </c>
      <c r="B8" s="67" t="str">
        <f>+VLOOKUP(A8,S0!$C$2:$I$89,7)</f>
        <v>CO</v>
      </c>
      <c r="C8" s="110" t="s">
        <v>711</v>
      </c>
      <c r="D8" s="62" t="s">
        <v>709</v>
      </c>
      <c r="E8" s="62" t="str">
        <f>+VLOOKUP(A8,S0!$C$2:$I$89,3)</f>
        <v>Sociedad CO.
Sociedad PA.
Jerarquía de Centros de Beneficio
Jerarquía de Centros de Costos</v>
      </c>
      <c r="F8" s="62" t="str">
        <f>+VLOOKUP(A8,S0!$C$2:$I$89,4)</f>
        <v>En la estructura SAP representa la vista jurídica u organizativa de una empresa como los niveles de la organización. La misma que, corresponde a un requisito esencial tanto para los datos maestros; como para definir, los procesos esenciales. A través de los objetos de costo en dicha estructura; posteriormente, se realizaran las  contabilizaciones en las cuentas de ingresos y gastos.</v>
      </c>
      <c r="G8" s="44">
        <v>0</v>
      </c>
      <c r="H8" s="66" t="str">
        <f>+VLOOKUP(A8,S0!$C$2:$I$89,6)</f>
        <v>* No se puede cambiar la moneda CO ni PA luego de tener movimientos</v>
      </c>
      <c r="I8" s="45" t="s">
        <v>92</v>
      </c>
      <c r="J8" s="45" t="s">
        <v>87</v>
      </c>
      <c r="K8" s="99"/>
      <c r="L8" s="77"/>
      <c r="M8" s="43" t="s">
        <v>617</v>
      </c>
      <c r="N8" s="43">
        <f>+VLOOKUP($A8,S0!$C$2:$Y$89,20)/8 * VLOOKUP($I8,Atributos!$A$28:$B$31,2) * VLOOKUP($J8,Atributos!$A$22:$B$25,2)/5</f>
        <v>0.15</v>
      </c>
      <c r="O8" s="43">
        <f>+VLOOKUP($A8,S0!$C$2:$Y$89,21)/8 * VLOOKUP($I8,Atributos!$A$28:$B$31,2) * VLOOKUP($J8,Atributos!$A$22:$B$25,2)/5</f>
        <v>0.15</v>
      </c>
      <c r="P8" s="43">
        <f>+VLOOKUP($A8,S0!$C$2:$Y$89,22)/8 * VLOOKUP($I8,Atributos!$A$28:$B$31,2) * VLOOKUP($J8,Atributos!$A$22:$B$25,2)/5</f>
        <v>0</v>
      </c>
      <c r="Q8" s="43">
        <f>+VLOOKUP($A8,S0!$C$2:$Y$89,23)/8 * VLOOKUP($I8,Atributos!$A$28:$B$31,2) * VLOOKUP($J8,Atributos!$A$22:$B$25,2)/5</f>
        <v>0</v>
      </c>
      <c r="R8" s="43">
        <f>SUM(M8:P8)</f>
        <v>0.3</v>
      </c>
      <c r="S8" s="43">
        <f>+(VLOOKUP($A8,S0!$C$2:$Y$89,19)/8 * VLOOKUP($I8,Atributos!$A$28:$B$31,2) * VLOOKUP($J8,Atributos!$G$22:$H$25,2))/5</f>
        <v>2.5000000000000001E-2</v>
      </c>
      <c r="T8" s="43">
        <f>+VLOOKUP($A8,S0!$C$2:$Y$89,20)/8 * VLOOKUP($I8,Atributos!$A$28:$B$31,2) * VLOOKUP($J8,Atributos!G22:H25,2)/5</f>
        <v>0.1</v>
      </c>
      <c r="U8" s="43">
        <f>+VLOOKUP($A8,S0!$C$2:$Y$89,21)/8 * VLOOKUP($I8,Atributos!$A$28:$B$31,2) * VLOOKUP($J8,Atributos!$G$22:$H$25,2)/5</f>
        <v>0.1</v>
      </c>
      <c r="V8" s="43">
        <f>+VLOOKUP($A8,S0!$C$2:$Y$89,22)/8 * VLOOKUP($I8,Atributos!$A$28:$B$31,2) * VLOOKUP($J8,Atributos!$G$22:$H$25,2)/5</f>
        <v>0</v>
      </c>
      <c r="W8" s="43">
        <f>+VLOOKUP($A8,S0!$C$2:$Y$89,23)/8 * VLOOKUP($I8,Atributos!$A$28:$B$31,2) * VLOOKUP($J8,Atributos!$G$22:$H$25,2)/5</f>
        <v>0</v>
      </c>
      <c r="X8" s="43">
        <f>SUM(S8:V8)</f>
        <v>0.22500000000000001</v>
      </c>
      <c r="Y8" s="87" t="e">
        <f t="shared" ref="Y8:Y39" si="0">(S8+M8)/2</f>
        <v>#VALUE!</v>
      </c>
      <c r="Z8" s="87">
        <f t="shared" ref="Z8:Z39" si="1">(T8+N8)/2</f>
        <v>0.125</v>
      </c>
      <c r="AA8" s="87">
        <f t="shared" ref="AA8:AA39" si="2">(U8+O8)/2</f>
        <v>0.125</v>
      </c>
      <c r="AB8" s="87">
        <f t="shared" ref="AB8:AB39" si="3">(V8+P8)/2</f>
        <v>0</v>
      </c>
      <c r="AC8" s="87">
        <f t="shared" ref="AC8:AC39" si="4">(W8+Q8)/2</f>
        <v>0</v>
      </c>
      <c r="AD8" s="87" t="e">
        <f>SUM(Y8:AB8)</f>
        <v>#VALUE!</v>
      </c>
    </row>
    <row r="9" spans="1:30" ht="360" x14ac:dyDescent="0.25">
      <c r="A9" s="36" t="s">
        <v>153</v>
      </c>
      <c r="B9" s="63" t="str">
        <f>+VLOOKUP(A9,S0!$C$2:$I$89,7)</f>
        <v>CO</v>
      </c>
      <c r="C9" s="111" t="s">
        <v>673</v>
      </c>
      <c r="D9" s="62" t="s">
        <v>681</v>
      </c>
      <c r="E9" s="64" t="str">
        <f>+VLOOKUP(A9,S0!$C$2:$I$89,3)</f>
        <v>Gestión de Centros de Beneficio.
Gestión de Centros de Costos.
Gestión de clases de costo.
Gestión de valores estadísticos.
Gestión de órdenes internas.</v>
      </c>
      <c r="F9" s="64" t="str">
        <f>+VLOOKUP(A9,S0!$C$2:$I$89,4)</f>
        <v>Corresponden a los datos que contienen información relevante para los procesos de la empresa y se encuentran almacenados de forma centralizada, para evitar redundancias y son empleadas por las diversas aplicaciones. 
En la contabilidad de costos tenemos:
- Centro de beneficio: Es una unidad organizativa de finanzas que refleja una estructura de la empresa orientada hacia la gestión. Se pueden analizar los resultados operativos con la vinculación a las cuentas de resultado.
- Centro de Costos: Es una unidad organizativa de controlling que representa una ubicación delimitada donde se generan los costes.
- Gestión de clases de costo: Este maestro comprenden a las cuentas de resultado que tienen injerencia en la contabilidad de costos interna y que se requieren, para realizar los procesos en controlling.
- Los valores estadísticos representan los drivers o inductores para distribuir los gastos.
- Órdenes internas: Son colectores de costos que permiten acumular costos de eventos específicos, campañas, inversiones, etc.</v>
      </c>
      <c r="G9" s="64" t="str">
        <f>+VLOOKUP(A9,S0!$C$2:$I$89,5)</f>
        <v>* Crear varios tipos de Ordenes Internas</v>
      </c>
      <c r="H9" s="65" t="str">
        <f>+VLOOKUP(A9,S0!$C$2:$I$89,6)</f>
        <v xml:space="preserve">* La data maestra luego de tener movimiento no puede ser eliminada
</v>
      </c>
      <c r="I9" s="45" t="s">
        <v>92</v>
      </c>
      <c r="J9" s="46" t="s">
        <v>88</v>
      </c>
      <c r="K9" s="99" t="s">
        <v>618</v>
      </c>
      <c r="L9" s="77"/>
      <c r="M9" s="37">
        <f>+(VLOOKUP($A9,S0!$C$2:$Y$89,19)/8 * VLOOKUP($I9,Atributos!$A$28:$B32,2) * VLOOKUP($J9,Atributos!$A$22:$B26,2))/5</f>
        <v>5.6250000000000001E-2</v>
      </c>
      <c r="N9" s="43">
        <f>+VLOOKUP($A9,S0!$C$2:$Y$89,20)/8 * VLOOKUP($I9,Atributos!$A$28:$B$31,2) * VLOOKUP($J9,Atributos!$A$22:$B$25,2)/5</f>
        <v>0.45</v>
      </c>
      <c r="O9" s="43">
        <f>+VLOOKUP($A9,S0!$C$2:$Y$89,21)/8 * VLOOKUP($I9,Atributos!$A$28:$B$31,2) * VLOOKUP($J9,Atributos!$A$22:$B$25,2)/5</f>
        <v>0.45</v>
      </c>
      <c r="P9" s="43">
        <f>+VLOOKUP($A9,S0!$C$2:$Y$89,22)/8 * VLOOKUP($I9,Atributos!$A$28:$B$31,2) * VLOOKUP($J9,Atributos!$A$22:$B$25,2)/5</f>
        <v>0.45</v>
      </c>
      <c r="Q9" s="43">
        <f>+VLOOKUP($A9,S0!$C$2:$Y$89,23)/8 * VLOOKUP($I9,Atributos!$A$28:$B$31,2) * VLOOKUP($J9,Atributos!$A$22:$B$25,2)/5</f>
        <v>0</v>
      </c>
      <c r="R9" s="43">
        <f t="shared" ref="R9:R39" si="5">SUM(M9:P9)</f>
        <v>1.40625</v>
      </c>
      <c r="S9" s="43">
        <f>+(VLOOKUP($A9,S0!$C$2:$Y$89,19)/8 * VLOOKUP($I9,Atributos!$A$28:$B$31,2) * VLOOKUP($J9,Atributos!$G$22:$H$25,2))/5</f>
        <v>3.7499999999999999E-2</v>
      </c>
      <c r="T9" s="43">
        <f>+VLOOKUP($A9,S0!$C$2:$Y$89,20)/8 * VLOOKUP($I9,Atributos!$A$28:$B$31,2) * VLOOKUP($J9,Atributos!$G$22:$H$25,2)/5</f>
        <v>0.3</v>
      </c>
      <c r="U9" s="43">
        <f>+VLOOKUP($A9,S0!$C$2:$Y$89,21)/8 * VLOOKUP($I9,Atributos!$A$28:$B$31,2) * VLOOKUP($J9,Atributos!$G$22:$H$25,2)/5</f>
        <v>0.3</v>
      </c>
      <c r="V9" s="43">
        <f>+VLOOKUP($A9,S0!$C$2:$Y$89,22)/8 * VLOOKUP($I9,Atributos!$A$28:$B$31,2) * VLOOKUP($J9,Atributos!$G$22:$H$25,2)/5</f>
        <v>0.3</v>
      </c>
      <c r="W9" s="43">
        <f>+VLOOKUP($A9,S0!$C$2:$Y$89,23)/8 * VLOOKUP($I9,Atributos!$A$28:$B$31,2) * VLOOKUP($J9,Atributos!$G$22:$H$25,2)/5</f>
        <v>0</v>
      </c>
      <c r="X9" s="43">
        <f>SUM(S9:V9)</f>
        <v>0.9375</v>
      </c>
      <c r="Y9" s="87">
        <f t="shared" si="0"/>
        <v>4.6875E-2</v>
      </c>
      <c r="Z9" s="87">
        <f t="shared" si="1"/>
        <v>0.375</v>
      </c>
      <c r="AA9" s="87">
        <f t="shared" si="2"/>
        <v>0.375</v>
      </c>
      <c r="AB9" s="87">
        <f t="shared" si="3"/>
        <v>0.375</v>
      </c>
      <c r="AC9" s="87">
        <f t="shared" si="4"/>
        <v>0</v>
      </c>
      <c r="AD9" s="87">
        <f t="shared" ref="AD9:AD72" si="6">SUM(Y9:AB9)</f>
        <v>1.171875</v>
      </c>
    </row>
    <row r="10" spans="1:30" ht="102.75" customHeight="1" x14ac:dyDescent="0.25">
      <c r="A10" s="36" t="s">
        <v>161</v>
      </c>
      <c r="B10" s="63" t="str">
        <f>+VLOOKUP(A10,S0!$C$2:$I$89,7)</f>
        <v>CO</v>
      </c>
      <c r="C10" s="112" t="s">
        <v>162</v>
      </c>
      <c r="D10" s="62" t="s">
        <v>682</v>
      </c>
      <c r="E10" s="64" t="str">
        <f>+VLOOKUP(A10,S0!$C$2:$I$89,3)</f>
        <v>Planificación de ingresos, costos y gastos, por centro de beneficio y centro de costos. 
Planificación de órdenes internas.</v>
      </c>
      <c r="F10" s="64" t="str">
        <f>+VLOOKUP(A10,S0!$C$2:$I$89,4)</f>
        <v>Controlling permite planificar la estructura de costos y gastos de las futuras operaciones de la empresa para períodos determinados y efectuar comparaciones Real / Plan para su control.</v>
      </c>
      <c r="G10" s="64" t="str">
        <f>+VLOOKUP(A10,S0!$C$2:$I$89,5)</f>
        <v>* Cargar diferentes Versione de planificación
* Copiar de Real a  Versión Plan
* Copiar de Vérsión Plan a Versión  Plan</v>
      </c>
      <c r="H10" s="65" t="str">
        <f>+VLOOKUP(A10,S0!$C$2:$I$89,6)</f>
        <v>* El cálculo de planificación es por fuera de SAP
* La planificación no es restrictiva solo informativa
* Se puede planificar a nivel de ceco + clase de coste</v>
      </c>
      <c r="I10" s="45" t="s">
        <v>92</v>
      </c>
      <c r="J10" s="46" t="s">
        <v>87</v>
      </c>
      <c r="K10" s="99"/>
      <c r="L10" s="77">
        <f>+(VLOOKUP($A10,S0!$C$2:$Y$89,18)/8 * VLOOKUP($I10,Atributos!$A$28:$B$31,2) * VLOOKUP($J10,Atributos!$A$22:$B$25,2))/5</f>
        <v>3.7499999999999999E-2</v>
      </c>
      <c r="M10" s="37">
        <f>+(VLOOKUP($A10,S0!$C$2:$Y$89,19)/8 * VLOOKUP($I10,Atributos!$A$28:$B33,2) * VLOOKUP($J10,Atributos!$A$22:$B27,2))/5</f>
        <v>7.4999999999999997E-2</v>
      </c>
      <c r="N10" s="43">
        <f>+VLOOKUP($A10,S0!$C$2:$Y$89,20)/8 * VLOOKUP($I10,Atributos!$A$28:$B$31,2) * VLOOKUP($J10,Atributos!$A$22:$B$25,2)/5</f>
        <v>0.6</v>
      </c>
      <c r="O10" s="43">
        <f>+VLOOKUP($A10,S0!$C$2:$Y$89,21)/8 * VLOOKUP($I10,Atributos!$A$28:$B$31,2) * VLOOKUP($J10,Atributos!$A$22:$B$25,2)/5</f>
        <v>1.2</v>
      </c>
      <c r="P10" s="43">
        <f>+VLOOKUP($A10,S0!$C$2:$Y$89,22)/8 * VLOOKUP($I10,Atributos!$A$28:$B$31,2) * VLOOKUP($J10,Atributos!$A$22:$B$25,2)/5</f>
        <v>0.3</v>
      </c>
      <c r="Q10" s="43">
        <f>+VLOOKUP($A10,S0!$C$2:$Y$89,23)/8 * VLOOKUP($I10,Atributos!$A$28:$B$31,2) * VLOOKUP($J10,Atributos!$A$22:$B$25,2)/5</f>
        <v>0.3</v>
      </c>
      <c r="R10" s="43">
        <f t="shared" si="5"/>
        <v>2.1749999999999998</v>
      </c>
      <c r="S10" s="43">
        <f>+(VLOOKUP($A10,S0!$C$2:$Y$89,19)/8 * VLOOKUP($I10,Atributos!$A$28:$B$31,2) * VLOOKUP($J10,Atributos!$G$22:$H$25,2))/5</f>
        <v>0.05</v>
      </c>
      <c r="T10" s="43">
        <f>+VLOOKUP($A10,S0!$C$2:$Y$89,20)/8 * VLOOKUP($I10,Atributos!$A$28:$B$31,2) * VLOOKUP($J10,Atributos!$G$22:$H$25,2)/5</f>
        <v>0.4</v>
      </c>
      <c r="U10" s="43">
        <f>+VLOOKUP($A10,S0!$C$2:$Y$89,21)/8 * VLOOKUP($I10,Atributos!$A$28:$B$31,2) * VLOOKUP($J10,Atributos!$G$22:$H$25,2)/5</f>
        <v>0.8</v>
      </c>
      <c r="V10" s="43">
        <f>+VLOOKUP($A10,S0!$C$2:$Y$89,22)/8 * VLOOKUP($I10,Atributos!$A$28:$B$31,2) * VLOOKUP($J10,Atributos!$G$22:$H$25,2)/5</f>
        <v>0.2</v>
      </c>
      <c r="W10" s="43">
        <f>+VLOOKUP($A10,S0!$C$2:$Y$89,23)/8 * VLOOKUP($I10,Atributos!$A$28:$B$31,2) * VLOOKUP($J10,Atributos!$G$22:$H$25,2)/5</f>
        <v>0.2</v>
      </c>
      <c r="X10" s="43">
        <f t="shared" ref="X10:X11" si="7">SUM(S10:V10)</f>
        <v>1.45</v>
      </c>
      <c r="Y10" s="87">
        <f t="shared" si="0"/>
        <v>6.25E-2</v>
      </c>
      <c r="Z10" s="87">
        <f t="shared" si="1"/>
        <v>0.5</v>
      </c>
      <c r="AA10" s="87">
        <f t="shared" si="2"/>
        <v>1</v>
      </c>
      <c r="AB10" s="87">
        <f t="shared" si="3"/>
        <v>0.25</v>
      </c>
      <c r="AC10" s="87">
        <f t="shared" si="4"/>
        <v>0.25</v>
      </c>
      <c r="AD10" s="87">
        <f t="shared" si="6"/>
        <v>1.8125</v>
      </c>
    </row>
    <row r="11" spans="1:30" ht="225" x14ac:dyDescent="0.25">
      <c r="A11" s="36" t="s">
        <v>168</v>
      </c>
      <c r="B11" s="63" t="str">
        <f>+VLOOKUP(A11,S0!$C$2:$I$89,7)</f>
        <v>CO</v>
      </c>
      <c r="C11" s="112" t="s">
        <v>169</v>
      </c>
      <c r="D11" s="62" t="s">
        <v>683</v>
      </c>
      <c r="E11" s="64" t="str">
        <f>+VLOOKUP(A11,S0!$C$2:$I$89,3)</f>
        <v xml:space="preserve">Imputación real a cuentas de ingresos, costos y gastos.
Gestión de órdenes internas de gastos y de inversión.
Creación de ciclos de distribución y de subreparto.
</v>
      </c>
      <c r="F11" s="64" t="str">
        <f>+VLOOKUP(A11,S0!$C$2:$I$89,4)</f>
        <v>Comprende los distintos procesos por los cuales se registran imputaciones reales en las cuentas contables de costos, gastos, ingresos e inversión, ya sea por medio de centros de costos, centros de beneficio u órdenes internas. 
La ordenes internas son objetos de costos que se usan para identificar operaciones específicas y temporales con el fin de facilitar un análisis. Estas se aplican para controlar proyectos, campañas, obras en curso, etc.
Los ciclos de distribución y/o subreparto sirven para distribuir o trasladar los costos de objetos de costos origen a objetos de costos destino. El ciclo de distribución traslada a través de la misma clase de costo, mientras el subreparto requiere de la clase de coste secundaria.</v>
      </c>
      <c r="G11" s="64" t="str">
        <f>+VLOOKUP(A11,S0!$C$2:$I$89,5)</f>
        <v>* Imputaciones a cecos 
* Imputaciones a diferentes clase de Ordenes ( Inversión,  reales , estadisticas)
* Ciclos de distribución con diferentes metodos ( % , VE, Importe Fijo , etc)
* Ciclos de Subreparto diferentes métodos  ( % , VE , importe Fijo , Etc)</v>
      </c>
      <c r="H11" s="65" t="str">
        <f>+VLOOKUP(A11,S0!$C$2:$I$89,6)</f>
        <v>* Los Drivers de los ciclos de distribución y subreparto no son automaticos ; si se define que el valor es mensual entonces se debe actualizar .
* Todo objeto de costo con movimiento no puede ser eliminado.</v>
      </c>
      <c r="I11" s="45" t="s">
        <v>92</v>
      </c>
      <c r="J11" s="46" t="s">
        <v>88</v>
      </c>
      <c r="K11" s="99" t="s">
        <v>619</v>
      </c>
      <c r="L11" s="77">
        <f>+(VLOOKUP($A11,S0!$C$2:$Y$89,18)/8 * VLOOKUP($I11,Atributos!$A$28:$B$31,2) * VLOOKUP($J11,Atributos!$A$22:$B$25,2))/5</f>
        <v>5.6250000000000001E-2</v>
      </c>
      <c r="M11" s="37">
        <f>+(VLOOKUP($A11,S0!$C$2:$Y$89,19)/8 * VLOOKUP($I11,Atributos!$A$28:$B34,2) * VLOOKUP($J11,Atributos!$A$22:$B28,2))/5</f>
        <v>0.1125</v>
      </c>
      <c r="N11" s="43">
        <f>+VLOOKUP($A11,S0!$C$2:$Y$89,20)/8 * VLOOKUP($I11,Atributos!$A$28:$B$31,2) * VLOOKUP($J11,Atributos!$A$22:$B$25,2)/5</f>
        <v>0.9</v>
      </c>
      <c r="O11" s="43">
        <f>+VLOOKUP($A11,S0!$C$2:$Y$89,21)/8 * VLOOKUP($I11,Atributos!$A$28:$B$31,2) * VLOOKUP($J11,Atributos!$A$22:$B$25,2)/5</f>
        <v>1.8</v>
      </c>
      <c r="P11" s="43">
        <f>+VLOOKUP($A11,S0!$C$2:$Y$89,22)/8 * VLOOKUP($I11,Atributos!$A$28:$B$31,2) * VLOOKUP($J11,Atributos!$A$22:$B$25,2)/5</f>
        <v>0.45</v>
      </c>
      <c r="Q11" s="43">
        <f>+VLOOKUP($A11,S0!$C$2:$Y$89,23)/8 * VLOOKUP($I11,Atributos!$A$28:$B$31,2) * VLOOKUP($J11,Atributos!$A$22:$B$25,2)/5</f>
        <v>0.45</v>
      </c>
      <c r="R11" s="43">
        <f t="shared" si="5"/>
        <v>3.2625000000000002</v>
      </c>
      <c r="S11" s="43">
        <f>+(VLOOKUP($A11,S0!$C$2:$Y$89,19)/8 * VLOOKUP($I11,Atributos!$A$28:$B$31,2) * VLOOKUP($J11,Atributos!$G$22:$H$25,2))/5</f>
        <v>7.4999999999999997E-2</v>
      </c>
      <c r="T11" s="43">
        <f>+VLOOKUP($A11,S0!$C$2:$Y$89,20)/8 * VLOOKUP($I11,Atributos!$A$28:$B$31,2) * VLOOKUP($J11,Atributos!$G$22:$H$25,2)/5</f>
        <v>0.6</v>
      </c>
      <c r="U11" s="43">
        <f>+VLOOKUP($A11,S0!$C$2:$Y$89,21)/8 * VLOOKUP($I11,Atributos!$A$28:$B$31,2) * VLOOKUP($J11,Atributos!$G$22:$H$25,2)/5</f>
        <v>1.2</v>
      </c>
      <c r="V11" s="43">
        <f>+VLOOKUP($A11,S0!$C$2:$Y$89,22)/8 * VLOOKUP($I11,Atributos!$A$28:$B$31,2) * VLOOKUP($J11,Atributos!$G$22:$H$25,2)/5</f>
        <v>0.3</v>
      </c>
      <c r="W11" s="43">
        <f>+VLOOKUP($A11,S0!$C$2:$Y$89,23)/8 * VLOOKUP($I11,Atributos!$A$28:$B$31,2) * VLOOKUP($J11,Atributos!$G$22:$H$25,2)/5</f>
        <v>0.3</v>
      </c>
      <c r="X11" s="43">
        <f t="shared" si="7"/>
        <v>2.1749999999999998</v>
      </c>
      <c r="Y11" s="87">
        <f t="shared" si="0"/>
        <v>9.375E-2</v>
      </c>
      <c r="Z11" s="87">
        <f t="shared" si="1"/>
        <v>0.75</v>
      </c>
      <c r="AA11" s="87">
        <f t="shared" si="2"/>
        <v>1.5</v>
      </c>
      <c r="AB11" s="87">
        <f t="shared" si="3"/>
        <v>0.375</v>
      </c>
      <c r="AC11" s="87">
        <f t="shared" si="4"/>
        <v>0.375</v>
      </c>
      <c r="AD11" s="87">
        <f t="shared" si="6"/>
        <v>2.71875</v>
      </c>
    </row>
    <row r="12" spans="1:30" ht="117" customHeight="1" x14ac:dyDescent="0.25">
      <c r="A12" s="36" t="s">
        <v>174</v>
      </c>
      <c r="B12" s="63" t="str">
        <f>+VLOOKUP(A12,S0!$C$2:$I$89,7)</f>
        <v>CO</v>
      </c>
      <c r="C12" s="112" t="s">
        <v>175</v>
      </c>
      <c r="D12" s="62" t="s">
        <v>684</v>
      </c>
      <c r="E12" s="64" t="str">
        <f>+VLOOKUP(A12,S0!$C$2:$I$89,3)</f>
        <v>Definición características CO-PA.
Subreparto de gastos.</v>
      </c>
      <c r="F12" s="64" t="str">
        <f>+VLOOKUP(A12,S0!$C$2:$I$89,4)</f>
        <v>Es una herramienta que brinda SAP, para ayudar a las empresas a evaluar su rentabilidad mediante sus segmentos de mercado a partir de sus ventas, ganancias/pérdidas e información proveniente de otros módulos como finanzas, ventas y logística. Se tienen características como canal de ventas, línea de negocio, oficina de ventas, cliente, material, etc. dicha información puede ser analizada por periodos, ejercicio.</v>
      </c>
      <c r="G12" s="64" t="str">
        <f>+VLOOKUP(A12,S0!$C$2:$I$89,5)</f>
        <v>* COPA - Análitico
* COPA - Contable
* Agregar caracteristicas Z*
* Agregar caracteristicas despues de la activación de COPA
* Ciclos de Subreparto de PA
* Ejecución del TOP- DOW</v>
      </c>
      <c r="H12" s="65" t="str">
        <f>+VLOOKUP(A12,S0!$C$2:$I$89,6)</f>
        <v>* COPA - Análitico ; existe la posibilidad que no cuadre exacto con la contabilidad ya que se usa para gestión 
* Los drivers del ciclo de subreparto no son automaticos .</v>
      </c>
      <c r="I12" s="45" t="s">
        <v>92</v>
      </c>
      <c r="J12" s="46" t="s">
        <v>87</v>
      </c>
      <c r="K12" s="99"/>
      <c r="L12" s="77">
        <f>+(VLOOKUP($A12,S0!$C$2:$Y$89,18)/8 * VLOOKUP($I12,Atributos!$A$28:$B$31,2) * VLOOKUP($J12,Atributos!$A$22:$B$25,2))/5</f>
        <v>3.7499999999999999E-2</v>
      </c>
      <c r="M12" s="37">
        <f>+(VLOOKUP($A12,S0!$C$2:$Y$89,19)/8 * VLOOKUP($I12,Atributos!$A$28:$B35,2) * VLOOKUP($J12,Atributos!$A$22:$B29,2))/5</f>
        <v>7.4999999999999997E-2</v>
      </c>
      <c r="N12" s="43">
        <f>+VLOOKUP($A12,S0!$C$2:$Y$89,20)/8 * VLOOKUP($I12,Atributos!$A$28:$B$31,2) * VLOOKUP($J12,Atributos!$A$22:$B$25,2)/5</f>
        <v>0.6</v>
      </c>
      <c r="O12" s="43">
        <f>+VLOOKUP($A12,S0!$C$2:$Y$89,21)/8 * VLOOKUP($I12,Atributos!$A$28:$B$31,2) * VLOOKUP($J12,Atributos!$A$22:$B$25,2)/5</f>
        <v>1.2</v>
      </c>
      <c r="P12" s="43">
        <f>+VLOOKUP($A12,S0!$C$2:$Y$89,22)/8 * VLOOKUP($I12,Atributos!$A$28:$B$31,2) * VLOOKUP($J12,Atributos!$A$22:$B$25,2)/5</f>
        <v>0.3</v>
      </c>
      <c r="Q12" s="43">
        <f>+VLOOKUP($A12,S0!$C$2:$Y$89,23)/8 * VLOOKUP($I12,Atributos!$A$28:$B$31,2) * VLOOKUP($J12,Atributos!$A$22:$B$25,2)/5</f>
        <v>0.3</v>
      </c>
      <c r="R12" s="43">
        <f>SUM(M12:P12)</f>
        <v>2.1749999999999998</v>
      </c>
      <c r="S12" s="43">
        <f>+(VLOOKUP($A12,S0!$C$2:$Y$89,19)/8 * VLOOKUP($I12,Atributos!$A$28:$B$31,2) * VLOOKUP($J12,Atributos!$G$22:$H$25,2))/5</f>
        <v>0.05</v>
      </c>
      <c r="T12" s="43">
        <f>+VLOOKUP($A12,S0!$C$2:$Y$89,20)/8 * VLOOKUP($I12,Atributos!$A$28:$B$31,2) * VLOOKUP($J12,Atributos!$G$22:$H$25,2)/5</f>
        <v>0.4</v>
      </c>
      <c r="U12" s="43">
        <f>+VLOOKUP($A12,S0!$C$2:$Y$89,21)/8 * VLOOKUP($I12,Atributos!$A$28:$B$31,2) * VLOOKUP($J12,Atributos!$G$22:$H$25,2)/5</f>
        <v>0.8</v>
      </c>
      <c r="V12" s="43">
        <f>+VLOOKUP($A12,S0!$C$2:$Y$89,22)/8 * VLOOKUP($I12,Atributos!$A$28:$B$31,2) * VLOOKUP($J12,Atributos!$G$22:$H$25,2)/5</f>
        <v>0.2</v>
      </c>
      <c r="W12" s="43">
        <f>+VLOOKUP($A12,S0!$C$2:$Y$89,23)/8 * VLOOKUP($I12,Atributos!$A$28:$B$31,2) * VLOOKUP($J12,Atributos!$G$22:$H$25,2)/5</f>
        <v>0.2</v>
      </c>
      <c r="X12" s="43">
        <f>SUM(S12:V12)</f>
        <v>1.45</v>
      </c>
      <c r="Y12" s="87">
        <f t="shared" si="0"/>
        <v>6.25E-2</v>
      </c>
      <c r="Z12" s="87">
        <f t="shared" si="1"/>
        <v>0.5</v>
      </c>
      <c r="AA12" s="87">
        <f t="shared" si="2"/>
        <v>1</v>
      </c>
      <c r="AB12" s="87">
        <f t="shared" si="3"/>
        <v>0.25</v>
      </c>
      <c r="AC12" s="87">
        <f t="shared" si="4"/>
        <v>0.25</v>
      </c>
      <c r="AD12" s="87">
        <f t="shared" si="6"/>
        <v>1.8125</v>
      </c>
    </row>
    <row r="13" spans="1:30" ht="60" x14ac:dyDescent="0.25">
      <c r="A13" s="36" t="s">
        <v>181</v>
      </c>
      <c r="B13" s="63" t="str">
        <f>+VLOOKUP(A13,S0!$C$2:$I$89,7)</f>
        <v>CO</v>
      </c>
      <c r="C13" s="112" t="s">
        <v>182</v>
      </c>
      <c r="D13" s="62" t="s">
        <v>685</v>
      </c>
      <c r="E13" s="64" t="str">
        <f>+VLOOKUP(A13,S0!$C$2:$I$89,3)</f>
        <v>Reportes de Rentabilidad.
Elaboración de reportes de gestión.
Elaboración de estados financieros internos.</v>
      </c>
      <c r="F13" s="64" t="str">
        <f>+VLOOKUP(A13,S0!$C$2:$I$89,4)</f>
        <v xml:space="preserve">Se refiere a los reportes de gastos por centros de costos, reportes de márgenes (por sociedad, unidad de  negocio, etc.) y de estados financieros internos, por medio de la herramienta Report Painter. </v>
      </c>
      <c r="G13" s="64">
        <f>+VLOOKUP(A13,S0!$C$2:$I$89,5)</f>
        <v>0</v>
      </c>
      <c r="H13" s="65" t="str">
        <f>+VLOOKUP(A13,S0!$C$2:$I$89,6)</f>
        <v>* Los reportes son Report Writer no se pueden transformar en ALV</v>
      </c>
      <c r="I13" s="45" t="s">
        <v>92</v>
      </c>
      <c r="J13" s="46" t="s">
        <v>87</v>
      </c>
      <c r="K13" s="99"/>
      <c r="L13" s="77">
        <f>+(VLOOKUP($A13,S0!$C$2:$Y$89,18)/8 * VLOOKUP($I13,Atributos!$A$28:$B$31,2) * VLOOKUP($J13,Atributos!$A$22:$B$25,2))/5</f>
        <v>3.7499999999999999E-2</v>
      </c>
      <c r="M13" s="37">
        <f>+(VLOOKUP($A13,S0!$C$2:$Y$89,19)/8 * VLOOKUP($I13,Atributos!$A$28:$B36,2) * VLOOKUP($J13,Atributos!$A$22:$B30,2))/5</f>
        <v>0.15</v>
      </c>
      <c r="N13" s="43">
        <f>+VLOOKUP($A13,S0!$C$2:$Y$89,20)/8 * VLOOKUP($I13,Atributos!$A$28:$B$31,2) * VLOOKUP($J13,Atributos!$A$22:$B$25,2)/5</f>
        <v>0.15</v>
      </c>
      <c r="O13" s="43">
        <f>+VLOOKUP($A13,S0!$C$2:$Y$89,21)/8 * VLOOKUP($I13,Atributos!$A$28:$B$31,2) * VLOOKUP($J13,Atributos!$A$22:$B$25,2)/5</f>
        <v>0.6</v>
      </c>
      <c r="P13" s="43">
        <f>+VLOOKUP($A13,S0!$C$2:$Y$89,22)/8 * VLOOKUP($I13,Atributos!$A$28:$B$31,2) * VLOOKUP($J13,Atributos!$A$22:$B$25,2)/5</f>
        <v>0</v>
      </c>
      <c r="Q13" s="43">
        <f>+VLOOKUP($A13,S0!$C$2:$Y$89,23)/8 * VLOOKUP($I13,Atributos!$A$28:$B$31,2) * VLOOKUP($J13,Atributos!$A$22:$B$25,2)/5</f>
        <v>0.3</v>
      </c>
      <c r="R13" s="43">
        <f t="shared" si="5"/>
        <v>0.89999999999999991</v>
      </c>
      <c r="S13" s="43">
        <f>+(VLOOKUP($A13,S0!$C$2:$Y$89,19)/8 * VLOOKUP($I13,Atributos!$A$28:$B$31,2) * VLOOKUP($J13,Atributos!$G$22:$H$25,2))/5</f>
        <v>0.05</v>
      </c>
      <c r="T13" s="43">
        <f>+VLOOKUP($A13,S0!$C$2:$Y$89,20)/8 * VLOOKUP($I13,Atributos!$A$28:$B$31,2) * VLOOKUP($J13,Atributos!$G$22:$H$25,2)/5</f>
        <v>0.1</v>
      </c>
      <c r="U13" s="43">
        <f>+VLOOKUP($A13,S0!$C$2:$Y$89,21)/8 * VLOOKUP($I13,Atributos!$A$28:$B$31,2) * VLOOKUP($J13,Atributos!$G$22:$H$25,2)/5</f>
        <v>0.4</v>
      </c>
      <c r="V13" s="43">
        <f>+VLOOKUP($A13,S0!$C$2:$Y$89,22)/8 * VLOOKUP($I13,Atributos!$A$28:$B$31,2) * VLOOKUP($J13,Atributos!$G$22:$H$25,2)/5</f>
        <v>0</v>
      </c>
      <c r="W13" s="43">
        <f>+VLOOKUP($A13,S0!$C$2:$Y$89,23)/8 * VLOOKUP($I13,Atributos!$A$28:$B$31,2) * VLOOKUP($J13,Atributos!$G$22:$H$25,2)/5</f>
        <v>0.2</v>
      </c>
      <c r="X13" s="43">
        <f t="shared" ref="X13:X76" si="8">SUM(S13:V13)</f>
        <v>0.55000000000000004</v>
      </c>
      <c r="Y13" s="87">
        <f t="shared" si="0"/>
        <v>0.1</v>
      </c>
      <c r="Z13" s="87">
        <f t="shared" si="1"/>
        <v>0.125</v>
      </c>
      <c r="AA13" s="87">
        <f t="shared" si="2"/>
        <v>0.5</v>
      </c>
      <c r="AB13" s="87">
        <f t="shared" si="3"/>
        <v>0</v>
      </c>
      <c r="AC13" s="87">
        <f t="shared" si="4"/>
        <v>0.25</v>
      </c>
      <c r="AD13" s="87">
        <f t="shared" si="6"/>
        <v>0.72499999999999998</v>
      </c>
    </row>
    <row r="14" spans="1:30" ht="255" x14ac:dyDescent="0.25">
      <c r="A14" s="36" t="s">
        <v>187</v>
      </c>
      <c r="B14" s="63" t="str">
        <f>+VLOOKUP(A14,S0!$C$2:$I$89,7)</f>
        <v>CO</v>
      </c>
      <c r="C14" s="112" t="s">
        <v>674</v>
      </c>
      <c r="D14" s="62" t="s">
        <v>683</v>
      </c>
      <c r="E14" s="64" t="str">
        <f>+VLOOKUP(A14,S0!$C$2:$I$89,3)</f>
        <v>Análisis de ingresos en centros de beneficio.
Análisis de costos y gastos en centros de costo y órdenes.
Liquidación de ordenes internas.
Ejecución de Distribución / Subreparto de gasto.</v>
      </c>
      <c r="F14" s="64" t="str">
        <f>+VLOOKUP(A14,S0!$C$2:$I$89,4)</f>
        <v>En el cierre de Controlling, se tienen los siguientes eventos:
- Análisis de ingresos en centros de beneficio: El proceso de análisis de los ingresos debe ser periodico durante el mes.
- Análisis de costos y gastos en centros de costo y órdenes: El proceso de análisis de los costos y gastos deben ser periodicos durante el mes.
- Liquidación de las ordenes internas: Las ordenes son acumuladores de gasto temporales por lo que en el cierre del periodo se debe realizar el proceso de liquidación con el objetivo que queden en cero.
- Ejecución de distribución / subreparto de gasto: Este proceso comprende a las distribuciones de gastos operativos entre las unidades de negocio o según el modelo/criterio que determine la empresa.</v>
      </c>
      <c r="G14" s="64">
        <f>+VLOOKUP(A14,S0!$C$2:$I$89,5)</f>
        <v>0</v>
      </c>
      <c r="H14" s="65">
        <f>+VLOOKUP(A14,S0!$C$2:$I$89,6)</f>
        <v>0</v>
      </c>
      <c r="I14" s="45" t="s">
        <v>92</v>
      </c>
      <c r="J14" s="46" t="s">
        <v>89</v>
      </c>
      <c r="K14" s="99" t="s">
        <v>620</v>
      </c>
      <c r="L14" s="77">
        <f>+(VLOOKUP($A14,S0!$C$2:$Y$89,18)/8 * VLOOKUP($I14,Atributos!$A$28:$B$31,2) * VLOOKUP($J14,Atributos!$A$22:$B$25,2))/5</f>
        <v>7.4999999999999997E-2</v>
      </c>
      <c r="M14" s="37">
        <f>+(VLOOKUP($A14,S0!$C$2:$Y$89,19)/8 * VLOOKUP($I14,Atributos!$A$28:$B37,2) * VLOOKUP($J14,Atributos!$A$22:$B31,2))/5</f>
        <v>0.3</v>
      </c>
      <c r="N14" s="43">
        <f>+VLOOKUP($A14,S0!$C$2:$Y$89,20)/8 * VLOOKUP($I14,Atributos!$A$28:$B$31,2) * VLOOKUP($J14,Atributos!$A$22:$B$25,2)/5</f>
        <v>1.2</v>
      </c>
      <c r="O14" s="43">
        <f>+VLOOKUP($A14,S0!$C$2:$Y$89,21)/8 * VLOOKUP($I14,Atributos!$A$28:$B$31,2) * VLOOKUP($J14,Atributos!$A$22:$B$25,2)/5</f>
        <v>2.4</v>
      </c>
      <c r="P14" s="43">
        <f>+VLOOKUP($A14,S0!$C$2:$Y$89,22)/8 * VLOOKUP($I14,Atributos!$A$28:$B$31,2) * VLOOKUP($J14,Atributos!$A$22:$B$25,2)/5</f>
        <v>0.6</v>
      </c>
      <c r="Q14" s="43">
        <f>+VLOOKUP($A14,S0!$C$2:$Y$89,23)/8 * VLOOKUP($I14,Atributos!$A$28:$B$31,2) * VLOOKUP($J14,Atributos!$A$22:$B$25,2)/5</f>
        <v>0.6</v>
      </c>
      <c r="R14" s="43">
        <f t="shared" si="5"/>
        <v>4.5</v>
      </c>
      <c r="S14" s="43">
        <f>+(VLOOKUP($A14,S0!$C$2:$Y$89,19)/8 * VLOOKUP($I14,Atributos!$A$28:$B$31,2) * VLOOKUP($J14,Atributos!$G$22:$H$25,2))/5</f>
        <v>0.1</v>
      </c>
      <c r="T14" s="43">
        <f>+VLOOKUP($A14,S0!$C$2:$Y$89,20)/8 * VLOOKUP($I14,Atributos!$A$28:$B$31,2) * VLOOKUP($J14,Atributos!$G$22:$H$25,2)/5</f>
        <v>0.8</v>
      </c>
      <c r="U14" s="43">
        <f>+VLOOKUP($A14,S0!$C$2:$Y$89,21)/8 * VLOOKUP($I14,Atributos!$A$28:$B$31,2) * VLOOKUP($J14,Atributos!$G$22:$H$25,2)/5</f>
        <v>1.6</v>
      </c>
      <c r="V14" s="43">
        <f>+VLOOKUP($A14,S0!$C$2:$Y$89,22)/8 * VLOOKUP($I14,Atributos!$A$28:$B$31,2) * VLOOKUP($J14,Atributos!$G$22:$H$25,2)/5</f>
        <v>0.4</v>
      </c>
      <c r="W14" s="43">
        <f>+VLOOKUP($A14,S0!$C$2:$Y$89,23)/8 * VLOOKUP($I14,Atributos!$A$28:$B$31,2) * VLOOKUP($J14,Atributos!$G$22:$H$25,2)/5</f>
        <v>0.4</v>
      </c>
      <c r="X14" s="43">
        <f t="shared" si="8"/>
        <v>2.9</v>
      </c>
      <c r="Y14" s="87">
        <f t="shared" si="0"/>
        <v>0.2</v>
      </c>
      <c r="Z14" s="87">
        <f t="shared" si="1"/>
        <v>1</v>
      </c>
      <c r="AA14" s="87">
        <f t="shared" si="2"/>
        <v>2</v>
      </c>
      <c r="AB14" s="87">
        <f t="shared" si="3"/>
        <v>0.5</v>
      </c>
      <c r="AC14" s="87">
        <f t="shared" si="4"/>
        <v>0.5</v>
      </c>
      <c r="AD14" s="87">
        <f t="shared" si="6"/>
        <v>3.7</v>
      </c>
    </row>
    <row r="15" spans="1:30" ht="60" x14ac:dyDescent="0.25">
      <c r="A15" s="36" t="s">
        <v>191</v>
      </c>
      <c r="B15" s="63" t="str">
        <f>+VLOOKUP(A15,S0!$C$2:$I$89,7)</f>
        <v>CO</v>
      </c>
      <c r="C15" s="113" t="s">
        <v>714</v>
      </c>
      <c r="D15" s="62" t="s">
        <v>715</v>
      </c>
      <c r="E15" s="64">
        <f>+VLOOKUP(A15,S0!$C$2:$I$89,3)</f>
        <v>0</v>
      </c>
      <c r="F15" s="64">
        <f>+VLOOKUP(A15,S0!$C$2:$I$89,4)</f>
        <v>0</v>
      </c>
      <c r="G15" s="64">
        <f>+VLOOKUP(A15,S0!$C$2:$I$89,5)</f>
        <v>0</v>
      </c>
      <c r="H15" s="65">
        <f>+VLOOKUP(A15,S0!$C$2:$I$89,6)</f>
        <v>0</v>
      </c>
      <c r="I15" s="45" t="s">
        <v>93</v>
      </c>
      <c r="J15" s="46" t="s">
        <v>89</v>
      </c>
      <c r="K15" s="99" t="s">
        <v>621</v>
      </c>
      <c r="L15" s="77">
        <f>+(VLOOKUP($A15,S0!$C$2:$Y$89,18)/8 * VLOOKUP($I15,Atributos!$A$28:$B$31,2) * VLOOKUP($J15,Atributos!$A$22:$B$25,2))/5</f>
        <v>0.1125</v>
      </c>
      <c r="M15" s="37">
        <f>+(VLOOKUP($A15,S0!$C$2:$Y$89,19)/8 * VLOOKUP($I15,Atributos!$A$28:$B38,2) * VLOOKUP($J15,Atributos!$A$22:$B32,2))/5</f>
        <v>0.45</v>
      </c>
      <c r="N15" s="43">
        <f>+VLOOKUP($A15,S0!$C$2:$Y$89,20)/8 * VLOOKUP($I15,Atributos!$A$28:$B$31,2) * VLOOKUP($J15,Atributos!$A$22:$B$25,2)/5</f>
        <v>1.8</v>
      </c>
      <c r="O15" s="43">
        <f>+VLOOKUP($A15,S0!$C$2:$Y$89,21)/8 * VLOOKUP($I15,Atributos!$A$28:$B$31,2) * VLOOKUP($J15,Atributos!$A$22:$B$25,2)/5</f>
        <v>3.6</v>
      </c>
      <c r="P15" s="43">
        <f>+VLOOKUP($A15,S0!$C$2:$Y$89,22)/8 * VLOOKUP($I15,Atributos!$A$28:$B$31,2) * VLOOKUP($J15,Atributos!$A$22:$B$25,2)/5</f>
        <v>0.9</v>
      </c>
      <c r="Q15" s="43">
        <f>+VLOOKUP($A15,S0!$C$2:$Y$89,23)/8 * VLOOKUP($I15,Atributos!$A$28:$B$31,2) * VLOOKUP($J15,Atributos!$A$22:$B$25,2)/5</f>
        <v>0.9</v>
      </c>
      <c r="R15" s="43">
        <f t="shared" si="5"/>
        <v>6.75</v>
      </c>
      <c r="S15" s="43">
        <f>+(VLOOKUP($A15,S0!$C$2:$Y$89,19)/8 * VLOOKUP($I15,Atributos!$A$28:$B$31,2) * VLOOKUP($J15,Atributos!$G$22:$H$25,2))/5</f>
        <v>0.15</v>
      </c>
      <c r="T15" s="43">
        <f>+VLOOKUP($A15,S0!$C$2:$Y$89,20)/8 * VLOOKUP($I15,Atributos!$A$28:$B$31,2) * VLOOKUP($J15,Atributos!$G$22:$H$25,2)/5</f>
        <v>1.2</v>
      </c>
      <c r="U15" s="43">
        <f>+VLOOKUP($A15,S0!$C$2:$Y$89,21)/8 * VLOOKUP($I15,Atributos!$A$28:$B$31,2) * VLOOKUP($J15,Atributos!$G$22:$H$25,2)/5</f>
        <v>2.4</v>
      </c>
      <c r="V15" s="43">
        <f>+VLOOKUP($A15,S0!$C$2:$Y$89,22)/8 * VLOOKUP($I15,Atributos!$A$28:$B$31,2) * VLOOKUP($J15,Atributos!$G$22:$H$25,2)/5</f>
        <v>0.6</v>
      </c>
      <c r="W15" s="43">
        <f>+VLOOKUP($A15,S0!$C$2:$Y$89,23)/8 * VLOOKUP($I15,Atributos!$A$28:$B$31,2) * VLOOKUP($J15,Atributos!$G$22:$H$25,2)/5</f>
        <v>0.6</v>
      </c>
      <c r="X15" s="43">
        <f t="shared" si="8"/>
        <v>4.3499999999999996</v>
      </c>
      <c r="Y15" s="87">
        <f t="shared" si="0"/>
        <v>0.3</v>
      </c>
      <c r="Z15" s="87">
        <f t="shared" si="1"/>
        <v>1.5</v>
      </c>
      <c r="AA15" s="87">
        <f t="shared" si="2"/>
        <v>3</v>
      </c>
      <c r="AB15" s="87">
        <f t="shared" si="3"/>
        <v>0.75</v>
      </c>
      <c r="AC15" s="87">
        <f t="shared" si="4"/>
        <v>0.75</v>
      </c>
      <c r="AD15" s="87">
        <f t="shared" si="6"/>
        <v>5.55</v>
      </c>
    </row>
    <row r="16" spans="1:30" ht="45" x14ac:dyDescent="0.25">
      <c r="A16" s="40" t="s">
        <v>192</v>
      </c>
      <c r="B16" s="63" t="str">
        <f>+VLOOKUP(A16,S0!$C$2:$I$89,7)</f>
        <v>EWM</v>
      </c>
      <c r="C16" s="114" t="s">
        <v>711</v>
      </c>
      <c r="D16" s="62" t="s">
        <v>709</v>
      </c>
      <c r="E16" s="64" t="str">
        <f>+VLOOKUP(A16,S0!$C$2:$I$89,3)</f>
        <v>Número de almacén
Tipos de almacén
Áreas de almacenamiento</v>
      </c>
      <c r="F16" s="64" t="str">
        <f>+VLOOKUP(A16,S0!$C$2:$I$89,4)</f>
        <v xml:space="preserve">Se detallan los niveles en los que se subdivide centro de distribución </v>
      </c>
      <c r="G16" s="64">
        <f>+VLOOKUP(A16,S0!$C$2:$I$89,5)</f>
        <v>0</v>
      </c>
      <c r="H16" s="64">
        <f>+VLOOKUP(A16,S0!$C$2:$I$89,6)</f>
        <v>0</v>
      </c>
      <c r="I16" s="45" t="s">
        <v>95</v>
      </c>
      <c r="J16" s="46" t="s">
        <v>87</v>
      </c>
      <c r="K16" s="99"/>
      <c r="L16" s="77">
        <f>+(VLOOKUP($A16,S0!$C$2:$Y$89,18)/8 * VLOOKUP($I16,Atributos!$A$28:$B$31,2) * VLOOKUP($J16,Atributos!$A$22:$B$25,2))/5</f>
        <v>0</v>
      </c>
      <c r="M16" s="37">
        <f>+(VLOOKUP($A16,S0!$C$2:$Y$89,19)/8 * VLOOKUP($I16,Atributos!$A$28:$B39,2) * VLOOKUP($J16,Atributos!$A$22:$B33,2))/5</f>
        <v>7.4999999999999997E-2</v>
      </c>
      <c r="N16" s="43">
        <f>+VLOOKUP($A16,S0!$C$2:$Y$89,20)/8 * VLOOKUP($I16,Atributos!$A$28:$B$31,2) * VLOOKUP($J16,Atributos!$A$22:$B$25,2)/5</f>
        <v>0</v>
      </c>
      <c r="O16" s="43">
        <f>+VLOOKUP($A16,S0!$C$2:$Y$89,21)/8 * VLOOKUP($I16,Atributos!$A$28:$B$31,2) * VLOOKUP($J16,Atributos!$A$22:$B$25,2)/5</f>
        <v>0</v>
      </c>
      <c r="P16" s="43">
        <f>+VLOOKUP($A16,S0!$C$2:$Y$89,22)/8 * VLOOKUP($I16,Atributos!$A$28:$B$31,2) * VLOOKUP($J16,Atributos!$A$22:$B$25,2)/5</f>
        <v>0</v>
      </c>
      <c r="Q16" s="43">
        <f>+VLOOKUP($A16,S0!$C$2:$Y$89,23)/8 * VLOOKUP($I16,Atributos!$A$28:$B$31,2) * VLOOKUP($J16,Atributos!$A$22:$B$25,2)/5</f>
        <v>0</v>
      </c>
      <c r="R16" s="43">
        <f t="shared" si="5"/>
        <v>7.4999999999999997E-2</v>
      </c>
      <c r="S16" s="43">
        <f>+(VLOOKUP($A16,S0!$C$2:$Y$89,19)/8 * VLOOKUP($I16,Atributos!$A$28:$B$31,2) * VLOOKUP($J16,Atributos!$G$22:$H$25,2))/5</f>
        <v>0</v>
      </c>
      <c r="T16" s="43">
        <f>+VLOOKUP($A16,S0!$C$2:$Y$89,20)/8 * VLOOKUP($I16,Atributos!$A$28:$B$31,2) * VLOOKUP($J16,Atributos!$G$22:$H$25,2)/5</f>
        <v>0</v>
      </c>
      <c r="U16" s="43">
        <f>+VLOOKUP($A16,S0!$C$2:$Y$89,21)/8 * VLOOKUP($I16,Atributos!$A$28:$B$31,2) * VLOOKUP($J16,Atributos!$G$22:$H$25,2)/5</f>
        <v>0</v>
      </c>
      <c r="V16" s="43">
        <f>+VLOOKUP($A16,S0!$C$2:$Y$89,22)/8 * VLOOKUP($I16,Atributos!$A$28:$B$31,2) * VLOOKUP($J16,Atributos!$G$22:$H$25,2)/5</f>
        <v>0</v>
      </c>
      <c r="W16" s="43">
        <f>+VLOOKUP($A16,S0!$C$2:$Y$89,23)/8 * VLOOKUP($I16,Atributos!$A$28:$B$31,2) * VLOOKUP($J16,Atributos!$G$22:$H$25,2)/5</f>
        <v>0</v>
      </c>
      <c r="X16" s="43">
        <f t="shared" si="8"/>
        <v>0</v>
      </c>
      <c r="Y16" s="87">
        <f t="shared" si="0"/>
        <v>3.7499999999999999E-2</v>
      </c>
      <c r="Z16" s="87">
        <f t="shared" si="1"/>
        <v>0</v>
      </c>
      <c r="AA16" s="87">
        <f t="shared" si="2"/>
        <v>0</v>
      </c>
      <c r="AB16" s="87">
        <f t="shared" si="3"/>
        <v>0</v>
      </c>
      <c r="AC16" s="87">
        <f t="shared" si="4"/>
        <v>0</v>
      </c>
      <c r="AD16" s="87">
        <f t="shared" si="6"/>
        <v>3.7499999999999999E-2</v>
      </c>
    </row>
    <row r="17" spans="1:30" ht="60" x14ac:dyDescent="0.25">
      <c r="A17" s="40" t="s">
        <v>195</v>
      </c>
      <c r="B17" s="63" t="str">
        <f>+VLOOKUP(A17,S0!$C$2:$I$89,7)</f>
        <v>EWM</v>
      </c>
      <c r="C17" s="113" t="s">
        <v>712</v>
      </c>
      <c r="D17" s="62" t="s">
        <v>710</v>
      </c>
      <c r="E17" s="64" t="str">
        <f>+VLOOKUP(A17,S0!$C$2:$I$89,3)</f>
        <v>Ampliación de materiales:
Indicadores de tipo de almacén
Indicadores de área de almacenamiento</v>
      </c>
      <c r="F17" s="64" t="str">
        <f>+VLOOKUP(A17,S0!$C$2:$I$89,4)</f>
        <v>Se actualiza la información del material para colocarle los indicadores correspondientes a ingreso y salida.</v>
      </c>
      <c r="G17" s="64">
        <f>+VLOOKUP(A17,S0!$C$2:$I$89,5)</f>
        <v>0</v>
      </c>
      <c r="H17" s="64">
        <f>+VLOOKUP(A17,S0!$C$2:$I$89,6)</f>
        <v>0</v>
      </c>
      <c r="I17" s="46" t="s">
        <v>95</v>
      </c>
      <c r="J17" s="46" t="s">
        <v>87</v>
      </c>
      <c r="K17" s="99"/>
      <c r="L17" s="77">
        <f>+(VLOOKUP($A17,S0!$C$2:$Y$89,18)/8 * VLOOKUP($I17,Atributos!$A$28:$B$31,2) * VLOOKUP($J17,Atributos!$A$22:$B$25,2))/5</f>
        <v>0</v>
      </c>
      <c r="M17" s="37">
        <f>+(VLOOKUP($A17,S0!$C$2:$Y$89,19)/8 * VLOOKUP($I17,Atributos!$A$28:$B40,2) * VLOOKUP($J17,Atributos!$A$22:$B34,2))/5</f>
        <v>7.4999999999999997E-2</v>
      </c>
      <c r="N17" s="43">
        <f>+VLOOKUP($A17,S0!$C$2:$Y$89,20)/8 * VLOOKUP($I17,Atributos!$A$28:$B$31,2) * VLOOKUP($J17,Atributos!$A$22:$B$25,2)/5</f>
        <v>0</v>
      </c>
      <c r="O17" s="43">
        <f>+VLOOKUP($A17,S0!$C$2:$Y$89,21)/8 * VLOOKUP($I17,Atributos!$A$28:$B$31,2) * VLOOKUP($J17,Atributos!$A$22:$B$25,2)/5</f>
        <v>0</v>
      </c>
      <c r="P17" s="43">
        <f>+VLOOKUP($A17,S0!$C$2:$Y$89,22)/8 * VLOOKUP($I17,Atributos!$A$28:$B$31,2) * VLOOKUP($J17,Atributos!$A$22:$B$25,2)/5</f>
        <v>0</v>
      </c>
      <c r="Q17" s="43">
        <f>+VLOOKUP($A17,S0!$C$2:$Y$89,23)/8 * VLOOKUP($I17,Atributos!$A$28:$B$31,2) * VLOOKUP($J17,Atributos!$A$22:$B$25,2)/5</f>
        <v>0</v>
      </c>
      <c r="R17" s="43">
        <f t="shared" si="5"/>
        <v>7.4999999999999997E-2</v>
      </c>
      <c r="S17" s="43">
        <f>+(VLOOKUP($A17,S0!$C$2:$Y$89,19)/8 * VLOOKUP($I17,Atributos!$A$28:$B$31,2) * VLOOKUP($J17,Atributos!$G$22:$H$25,2))/5</f>
        <v>0</v>
      </c>
      <c r="T17" s="43">
        <f>+VLOOKUP($A17,S0!$C$2:$Y$89,20)/8 * VLOOKUP($I17,Atributos!$A$28:$B$31,2) * VLOOKUP($J17,Atributos!$G$22:$H$25,2)/5</f>
        <v>0</v>
      </c>
      <c r="U17" s="43">
        <f>+VLOOKUP($A17,S0!$C$2:$Y$89,21)/8 * VLOOKUP($I17,Atributos!$A$28:$B$31,2) * VLOOKUP($J17,Atributos!$G$22:$H$25,2)/5</f>
        <v>0</v>
      </c>
      <c r="V17" s="43">
        <f>+VLOOKUP($A17,S0!$C$2:$Y$89,22)/8 * VLOOKUP($I17,Atributos!$A$28:$B$31,2) * VLOOKUP($J17,Atributos!$G$22:$H$25,2)/5</f>
        <v>0</v>
      </c>
      <c r="W17" s="43">
        <f>+VLOOKUP($A17,S0!$C$2:$Y$89,23)/8 * VLOOKUP($I17,Atributos!$A$28:$B$31,2) * VLOOKUP($J17,Atributos!$G$22:$H$25,2)/5</f>
        <v>0</v>
      </c>
      <c r="X17" s="43">
        <f t="shared" si="8"/>
        <v>0</v>
      </c>
      <c r="Y17" s="87">
        <f t="shared" si="0"/>
        <v>3.7499999999999999E-2</v>
      </c>
      <c r="Z17" s="87">
        <f t="shared" si="1"/>
        <v>0</v>
      </c>
      <c r="AA17" s="87">
        <f t="shared" si="2"/>
        <v>0</v>
      </c>
      <c r="AB17" s="87">
        <f t="shared" si="3"/>
        <v>0</v>
      </c>
      <c r="AC17" s="87">
        <f t="shared" si="4"/>
        <v>0</v>
      </c>
      <c r="AD17" s="87">
        <f t="shared" si="6"/>
        <v>3.7499999999999999E-2</v>
      </c>
    </row>
    <row r="18" spans="1:30" ht="90" x14ac:dyDescent="0.25">
      <c r="A18" s="40" t="s">
        <v>199</v>
      </c>
      <c r="B18" s="63" t="str">
        <f>+VLOOKUP(A18,S0!$C$2:$I$89,7)</f>
        <v>EWM</v>
      </c>
      <c r="C18" s="113" t="s">
        <v>689</v>
      </c>
      <c r="D18" s="62" t="s">
        <v>686</v>
      </c>
      <c r="E18" s="64" t="str">
        <f>+VLOOKUP(A18,S0!$C$2:$I$89,3)</f>
        <v>Orden de compra o ingreso directo:
Generación de la entrega entrante
Modificación de la entrega/contabilización
Creación de la orden de almacén
Confirmación de de la orden</v>
      </c>
      <c r="F18" s="64" t="str">
        <f>+VLOOKUP(A18,S0!$C$2:$I$89,4)</f>
        <v>El proceso de ingreso permite brindar soporte a las actividades ejecutadas desde la recepción de la mercadería hasta la colocación de los materiales en la ubicación final</v>
      </c>
      <c r="G18" s="64" t="str">
        <f>+VLOOKUP(A18,S0!$C$2:$I$89,5)</f>
        <v>- Ingreso por compra
- Ingreso directo sin pedido
- Ingreso por traslado</v>
      </c>
      <c r="H18" s="64">
        <f>+VLOOKUP(A18,S0!$C$2:$I$89,6)</f>
        <v>0</v>
      </c>
      <c r="I18" s="46" t="s">
        <v>95</v>
      </c>
      <c r="J18" s="46" t="s">
        <v>87</v>
      </c>
      <c r="K18" s="99"/>
      <c r="L18" s="77">
        <f>+(VLOOKUP($A18,S0!$C$2:$Y$89,18)/8 * VLOOKUP($I18,Atributos!$A$28:$B$31,2) * VLOOKUP($J18,Atributos!$A$22:$B$25,2))/5</f>
        <v>0</v>
      </c>
      <c r="M18" s="37">
        <f>+(VLOOKUP($A18,S0!$C$2:$Y$89,19)/8 * VLOOKUP($I18,Atributos!$A$28:$B41,2) * VLOOKUP($J18,Atributos!$A$22:$B35,2))/5</f>
        <v>0.4</v>
      </c>
      <c r="N18" s="43">
        <f>+VLOOKUP($A18,S0!$C$2:$Y$89,20)/8 * VLOOKUP($I18,Atributos!$A$28:$B$31,2) * VLOOKUP($J18,Atributos!$A$22:$B$25,2)/5</f>
        <v>0</v>
      </c>
      <c r="O18" s="43">
        <f>+VLOOKUP($A18,S0!$C$2:$Y$89,21)/8 * VLOOKUP($I18,Atributos!$A$28:$B$31,2) * VLOOKUP($J18,Atributos!$A$22:$B$25,2)/5</f>
        <v>0</v>
      </c>
      <c r="P18" s="43">
        <f>+VLOOKUP($A18,S0!$C$2:$Y$89,22)/8 * VLOOKUP($I18,Atributos!$A$28:$B$31,2) * VLOOKUP($J18,Atributos!$A$22:$B$25,2)/5</f>
        <v>0</v>
      </c>
      <c r="Q18" s="43">
        <f>+VLOOKUP($A18,S0!$C$2:$Y$89,23)/8 * VLOOKUP($I18,Atributos!$A$28:$B$31,2) * VLOOKUP($J18,Atributos!$A$22:$B$25,2)/5</f>
        <v>0</v>
      </c>
      <c r="R18" s="43">
        <f t="shared" si="5"/>
        <v>0.4</v>
      </c>
      <c r="S18" s="43">
        <f>+(VLOOKUP($A18,S0!$C$2:$Y$89,19)/8 * VLOOKUP($I18,Atributos!$A$28:$B$31,2) * VLOOKUP($J18,Atributos!$G$22:$H$25,2))/5</f>
        <v>0</v>
      </c>
      <c r="T18" s="43">
        <f>+VLOOKUP($A18,S0!$C$2:$Y$89,20)/8 * VLOOKUP($I18,Atributos!$A$28:$B$31,2) * VLOOKUP($J18,Atributos!$G$22:$H$25,2)/5</f>
        <v>0</v>
      </c>
      <c r="U18" s="43">
        <f>+VLOOKUP($A18,S0!$C$2:$Y$89,21)/8 * VLOOKUP($I18,Atributos!$A$28:$B$31,2) * VLOOKUP($J18,Atributos!$G$22:$H$25,2)/5</f>
        <v>0</v>
      </c>
      <c r="V18" s="43">
        <f>+VLOOKUP($A18,S0!$C$2:$Y$89,22)/8 * VLOOKUP($I18,Atributos!$A$28:$B$31,2) * VLOOKUP($J18,Atributos!$G$22:$H$25,2)/5</f>
        <v>0</v>
      </c>
      <c r="W18" s="43">
        <f>+VLOOKUP($A18,S0!$C$2:$Y$89,23)/8 * VLOOKUP($I18,Atributos!$A$28:$B$31,2) * VLOOKUP($J18,Atributos!$G$22:$H$25,2)/5</f>
        <v>0</v>
      </c>
      <c r="X18" s="43">
        <f t="shared" si="8"/>
        <v>0</v>
      </c>
      <c r="Y18" s="87">
        <f t="shared" si="0"/>
        <v>0.2</v>
      </c>
      <c r="Z18" s="87">
        <f t="shared" si="1"/>
        <v>0</v>
      </c>
      <c r="AA18" s="87">
        <f t="shared" si="2"/>
        <v>0</v>
      </c>
      <c r="AB18" s="87">
        <f t="shared" si="3"/>
        <v>0</v>
      </c>
      <c r="AC18" s="87">
        <f t="shared" si="4"/>
        <v>0</v>
      </c>
      <c r="AD18" s="87">
        <f t="shared" si="6"/>
        <v>0.2</v>
      </c>
    </row>
    <row r="19" spans="1:30" ht="75" x14ac:dyDescent="0.25">
      <c r="A19" s="40" t="s">
        <v>204</v>
      </c>
      <c r="B19" s="63" t="str">
        <f>+VLOOKUP(A19,S0!$C$2:$I$89,7)</f>
        <v>EWM</v>
      </c>
      <c r="C19" s="113" t="s">
        <v>688</v>
      </c>
      <c r="D19" s="62" t="s">
        <v>687</v>
      </c>
      <c r="E19" s="64" t="str">
        <f>+VLOOKUP(A19,S0!$C$2:$I$89,3)</f>
        <v>Pedido de venta o salida directa:
Generación de la entrega de salida
Creación de la orden de almacén
Confirmación de de la orden
Contabilización de la entrega de salida</v>
      </c>
      <c r="F19" s="64" t="str">
        <f>+VLOOKUP(A19,S0!$C$2:$I$89,4)</f>
        <v>El proceso de salida permite brindar soporte a las actividades ejecutadas desde la extracción de la recepción de la mercadería hasta la colocación de los materiales en la ubicación final</v>
      </c>
      <c r="G19" s="64" t="str">
        <f>+VLOOKUP(A19,S0!$C$2:$I$89,5)</f>
        <v>-Salida por venta
-Salida por consumo directo
-Salida por traslado</v>
      </c>
      <c r="H19" s="64">
        <f>+VLOOKUP(A19,S0!$C$2:$I$89,6)</f>
        <v>0</v>
      </c>
      <c r="I19" s="46" t="s">
        <v>95</v>
      </c>
      <c r="J19" s="46" t="s">
        <v>87</v>
      </c>
      <c r="K19" s="99"/>
      <c r="L19" s="77">
        <f>+(VLOOKUP($A19,S0!$C$2:$Y$89,18)/8 * VLOOKUP($I19,Atributos!$A$28:$B$31,2) * VLOOKUP($J19,Atributos!$A$22:$B$25,2))/5</f>
        <v>0</v>
      </c>
      <c r="M19" s="37">
        <f>+(VLOOKUP($A19,S0!$C$2:$Y$89,19)/8 * VLOOKUP($I19,Atributos!$A$28:$B42,2) * VLOOKUP($J19,Atributos!$A$22:$B36,2))/5</f>
        <v>0.375</v>
      </c>
      <c r="N19" s="43">
        <f>+VLOOKUP($A19,S0!$C$2:$Y$89,20)/8 * VLOOKUP($I19,Atributos!$A$28:$B$31,2) * VLOOKUP($J19,Atributos!$A$22:$B$25,2)/5</f>
        <v>0</v>
      </c>
      <c r="O19" s="43">
        <f>+VLOOKUP($A19,S0!$C$2:$Y$89,21)/8 * VLOOKUP($I19,Atributos!$A$28:$B$31,2) * VLOOKUP($J19,Atributos!$A$22:$B$25,2)/5</f>
        <v>0</v>
      </c>
      <c r="P19" s="43">
        <f>+VLOOKUP($A19,S0!$C$2:$Y$89,22)/8 * VLOOKUP($I19,Atributos!$A$28:$B$31,2) * VLOOKUP($J19,Atributos!$A$22:$B$25,2)/5</f>
        <v>0</v>
      </c>
      <c r="Q19" s="43">
        <f>+VLOOKUP($A19,S0!$C$2:$Y$89,23)/8 * VLOOKUP($I19,Atributos!$A$28:$B$31,2) * VLOOKUP($J19,Atributos!$A$22:$B$25,2)/5</f>
        <v>0</v>
      </c>
      <c r="R19" s="43">
        <f t="shared" si="5"/>
        <v>0.375</v>
      </c>
      <c r="S19" s="43">
        <f>+(VLOOKUP($A19,S0!$C$2:$Y$89,19)/8 * VLOOKUP($I19,Atributos!$A$28:$B$31,2) * VLOOKUP($J19,Atributos!$G$22:$H$25,2))/5</f>
        <v>0</v>
      </c>
      <c r="T19" s="43">
        <f>+VLOOKUP($A19,S0!$C$2:$Y$89,20)/8 * VLOOKUP($I19,Atributos!$A$28:$B$31,2) * VLOOKUP($J19,Atributos!$G$22:$H$25,2)/5</f>
        <v>0</v>
      </c>
      <c r="U19" s="43">
        <f>+VLOOKUP($A19,S0!$C$2:$Y$89,21)/8 * VLOOKUP($I19,Atributos!$A$28:$B$31,2) * VLOOKUP($J19,Atributos!$G$22:$H$25,2)/5</f>
        <v>0</v>
      </c>
      <c r="V19" s="43">
        <f>+VLOOKUP($A19,S0!$C$2:$Y$89,22)/8 * VLOOKUP($I19,Atributos!$A$28:$B$31,2) * VLOOKUP($J19,Atributos!$G$22:$H$25,2)/5</f>
        <v>0</v>
      </c>
      <c r="W19" s="43">
        <f>+VLOOKUP($A19,S0!$C$2:$Y$89,23)/8 * VLOOKUP($I19,Atributos!$A$28:$B$31,2) * VLOOKUP($J19,Atributos!$G$22:$H$25,2)/5</f>
        <v>0</v>
      </c>
      <c r="X19" s="43">
        <f t="shared" si="8"/>
        <v>0</v>
      </c>
      <c r="Y19" s="87">
        <f t="shared" si="0"/>
        <v>0.1875</v>
      </c>
      <c r="Z19" s="87">
        <f t="shared" si="1"/>
        <v>0</v>
      </c>
      <c r="AA19" s="87">
        <f t="shared" si="2"/>
        <v>0</v>
      </c>
      <c r="AB19" s="87">
        <f t="shared" si="3"/>
        <v>0</v>
      </c>
      <c r="AC19" s="87">
        <f t="shared" si="4"/>
        <v>0</v>
      </c>
      <c r="AD19" s="87">
        <f t="shared" si="6"/>
        <v>0.1875</v>
      </c>
    </row>
    <row r="20" spans="1:30" ht="90" x14ac:dyDescent="0.25">
      <c r="A20" s="40" t="s">
        <v>209</v>
      </c>
      <c r="B20" s="63" t="str">
        <f>+VLOOKUP(A20,S0!$C$2:$I$89,7)</f>
        <v>EWM</v>
      </c>
      <c r="C20" s="113" t="s">
        <v>692</v>
      </c>
      <c r="D20" s="62" t="s">
        <v>693</v>
      </c>
      <c r="E20" s="64" t="str">
        <f>+VLOOKUP(A20,S0!$C$2:$I$89,3)</f>
        <v>Cambio de ubicación individual
Cambio de ubicaión masivo
Cambio de tipo de stock</v>
      </c>
      <c r="F20" s="64" t="str">
        <f>+VLOOKUP(A20,S0!$C$2:$I$89,4)</f>
        <v>Los procesos dentro del almacén pueden ser mapeados a detalle en el sistema para reflejar los cambios de ubicación y/o tipos de stock</v>
      </c>
      <c r="G20" s="64" t="str">
        <f>+VLOOKUP(A20,S0!$C$2:$I$89,5)</f>
        <v>-Cambio de ubicación individual
-Cambio de ubicación masivo
-Cambio de tipo de stock</v>
      </c>
      <c r="H20" s="64">
        <f>+VLOOKUP(A20,S0!$C$2:$I$89,6)</f>
        <v>0</v>
      </c>
      <c r="I20" s="46" t="s">
        <v>95</v>
      </c>
      <c r="J20" s="46" t="s">
        <v>87</v>
      </c>
      <c r="K20" s="99"/>
      <c r="L20" s="77">
        <f>+(VLOOKUP($A20,S0!$C$2:$Y$89,18)/8 * VLOOKUP($I20,Atributos!$A$28:$B$31,2) * VLOOKUP($J20,Atributos!$A$22:$B$25,2))/5</f>
        <v>0</v>
      </c>
      <c r="M20" s="37">
        <f>+(VLOOKUP($A20,S0!$C$2:$Y$89,19)/8 * VLOOKUP($I20,Atributos!$A$28:$B43,2) * VLOOKUP($J20,Atributos!$A$22:$B37,2))/5</f>
        <v>0.375</v>
      </c>
      <c r="N20" s="43">
        <f>+VLOOKUP($A20,S0!$C$2:$Y$89,20)/8 * VLOOKUP($I20,Atributos!$A$28:$B$31,2) * VLOOKUP($J20,Atributos!$A$22:$B$25,2)/5</f>
        <v>0</v>
      </c>
      <c r="O20" s="43">
        <f>+VLOOKUP($A20,S0!$C$2:$Y$89,21)/8 * VLOOKUP($I20,Atributos!$A$28:$B$31,2) * VLOOKUP($J20,Atributos!$A$22:$B$25,2)/5</f>
        <v>0</v>
      </c>
      <c r="P20" s="43">
        <f>+VLOOKUP($A20,S0!$C$2:$Y$89,22)/8 * VLOOKUP($I20,Atributos!$A$28:$B$31,2) * VLOOKUP($J20,Atributos!$A$22:$B$25,2)/5</f>
        <v>0</v>
      </c>
      <c r="Q20" s="43">
        <f>+VLOOKUP($A20,S0!$C$2:$Y$89,23)/8 * VLOOKUP($I20,Atributos!$A$28:$B$31,2) * VLOOKUP($J20,Atributos!$A$22:$B$25,2)/5</f>
        <v>0</v>
      </c>
      <c r="R20" s="43">
        <f t="shared" si="5"/>
        <v>0.375</v>
      </c>
      <c r="S20" s="43">
        <f>+(VLOOKUP($A20,S0!$C$2:$Y$89,19)/8 * VLOOKUP($I20,Atributos!$A$28:$B$31,2) * VLOOKUP($J20,Atributos!$G$22:$H$25,2))/5</f>
        <v>0</v>
      </c>
      <c r="T20" s="43">
        <f>+VLOOKUP($A20,S0!$C$2:$Y$89,20)/8 * VLOOKUP($I20,Atributos!$A$28:$B$31,2) * VLOOKUP($J20,Atributos!$G$22:$H$25,2)/5</f>
        <v>0</v>
      </c>
      <c r="U20" s="43">
        <f>+VLOOKUP($A20,S0!$C$2:$Y$89,21)/8 * VLOOKUP($I20,Atributos!$A$28:$B$31,2) * VLOOKUP($J20,Atributos!$G$22:$H$25,2)/5</f>
        <v>0</v>
      </c>
      <c r="V20" s="43">
        <f>+VLOOKUP($A20,S0!$C$2:$Y$89,22)/8 * VLOOKUP($I20,Atributos!$A$28:$B$31,2) * VLOOKUP($J20,Atributos!$G$22:$H$25,2)/5</f>
        <v>0</v>
      </c>
      <c r="W20" s="43">
        <f>+VLOOKUP($A20,S0!$C$2:$Y$89,23)/8 * VLOOKUP($I20,Atributos!$A$28:$B$31,2) * VLOOKUP($J20,Atributos!$G$22:$H$25,2)/5</f>
        <v>0</v>
      </c>
      <c r="X20" s="43">
        <f t="shared" si="8"/>
        <v>0</v>
      </c>
      <c r="Y20" s="87">
        <f t="shared" si="0"/>
        <v>0.1875</v>
      </c>
      <c r="Z20" s="87">
        <f t="shared" si="1"/>
        <v>0</v>
      </c>
      <c r="AA20" s="87">
        <f t="shared" si="2"/>
        <v>0</v>
      </c>
      <c r="AB20" s="87">
        <f t="shared" si="3"/>
        <v>0</v>
      </c>
      <c r="AC20" s="87">
        <f t="shared" si="4"/>
        <v>0</v>
      </c>
      <c r="AD20" s="87">
        <f t="shared" si="6"/>
        <v>0.1875</v>
      </c>
    </row>
    <row r="21" spans="1:30" ht="90" x14ac:dyDescent="0.25">
      <c r="A21" s="40" t="s">
        <v>214</v>
      </c>
      <c r="B21" s="63" t="str">
        <f>+VLOOKUP(A21,S0!$C$2:$I$89,7)</f>
        <v>EWM</v>
      </c>
      <c r="C21" s="114" t="s">
        <v>690</v>
      </c>
      <c r="D21" s="62" t="s">
        <v>691</v>
      </c>
      <c r="E21" s="64" t="str">
        <f>+VLOOKUP(A21,S0!$C$2:$I$89,3)</f>
        <v>Toma de inventario por material
Toma de inventario por ubicación</v>
      </c>
      <c r="F21" s="64" t="str">
        <f>+VLOOKUP(A21,S0!$C$2:$I$89,4)</f>
        <v>Proceso de conteo de materiales y/o ubicaciones con mayor precisión</v>
      </c>
      <c r="G21" s="64" t="str">
        <f>+VLOOKUP(A21,S0!$C$2:$I$89,5)</f>
        <v>-Toma de inventario por material sin diferencia
-Tomoa de inventario por ubicación con diferencia</v>
      </c>
      <c r="H21" s="64">
        <f>+VLOOKUP(A21,S0!$C$2:$I$89,6)</f>
        <v>0</v>
      </c>
      <c r="I21" s="46" t="s">
        <v>95</v>
      </c>
      <c r="J21" s="46" t="s">
        <v>87</v>
      </c>
      <c r="K21" s="99"/>
      <c r="L21" s="77">
        <f>+(VLOOKUP($A21,S0!$C$2:$Y$89,18)/8 * VLOOKUP($I21,Atributos!$A$28:$B$31,2) * VLOOKUP($J21,Atributos!$A$22:$B$25,2))/5</f>
        <v>0</v>
      </c>
      <c r="M21" s="37">
        <f>+(VLOOKUP($A21,S0!$C$2:$Y$89,19)/8 * VLOOKUP($I21,Atributos!$A$28:$B44,2) * VLOOKUP($J21,Atributos!$A$22:$B38,2))/5</f>
        <v>0.375</v>
      </c>
      <c r="N21" s="43">
        <f>+VLOOKUP($A21,S0!$C$2:$Y$89,20)/8 * VLOOKUP($I21,Atributos!$A$28:$B$31,2) * VLOOKUP($J21,Atributos!$A$22:$B$25,2)/5</f>
        <v>0</v>
      </c>
      <c r="O21" s="43">
        <f>+VLOOKUP($A21,S0!$C$2:$Y$89,21)/8 * VLOOKUP($I21,Atributos!$A$28:$B$31,2) * VLOOKUP($J21,Atributos!$A$22:$B$25,2)/5</f>
        <v>0</v>
      </c>
      <c r="P21" s="43">
        <f>+VLOOKUP($A21,S0!$C$2:$Y$89,22)/8 * VLOOKUP($I21,Atributos!$A$28:$B$31,2) * VLOOKUP($J21,Atributos!$A$22:$B$25,2)/5</f>
        <v>0</v>
      </c>
      <c r="Q21" s="43">
        <f>+VLOOKUP($A21,S0!$C$2:$Y$89,23)/8 * VLOOKUP($I21,Atributos!$A$28:$B$31,2) * VLOOKUP($J21,Atributos!$A$22:$B$25,2)/5</f>
        <v>0</v>
      </c>
      <c r="R21" s="43">
        <f t="shared" si="5"/>
        <v>0.375</v>
      </c>
      <c r="S21" s="43">
        <f>+(VLOOKUP($A21,S0!$C$2:$Y$89,19)/8 * VLOOKUP($I21,Atributos!$A$28:$B$31,2) * VLOOKUP($J21,Atributos!$G$22:$H$25,2))/5</f>
        <v>0</v>
      </c>
      <c r="T21" s="43">
        <f>+VLOOKUP($A21,S0!$C$2:$Y$89,20)/8 * VLOOKUP($I21,Atributos!$A$28:$B$31,2) * VLOOKUP($J21,Atributos!$G$22:$H$25,2)/5</f>
        <v>0</v>
      </c>
      <c r="U21" s="43">
        <f>+VLOOKUP($A21,S0!$C$2:$Y$89,21)/8 * VLOOKUP($I21,Atributos!$A$28:$B$31,2) * VLOOKUP($J21,Atributos!$G$22:$H$25,2)/5</f>
        <v>0</v>
      </c>
      <c r="V21" s="43">
        <f>+VLOOKUP($A21,S0!$C$2:$Y$89,22)/8 * VLOOKUP($I21,Atributos!$A$28:$B$31,2) * VLOOKUP($J21,Atributos!$G$22:$H$25,2)/5</f>
        <v>0</v>
      </c>
      <c r="W21" s="43">
        <f>+VLOOKUP($A21,S0!$C$2:$Y$89,23)/8 * VLOOKUP($I21,Atributos!$A$28:$B$31,2) * VLOOKUP($J21,Atributos!$G$22:$H$25,2)/5</f>
        <v>0</v>
      </c>
      <c r="X21" s="43">
        <f t="shared" si="8"/>
        <v>0</v>
      </c>
      <c r="Y21" s="87">
        <f t="shared" si="0"/>
        <v>0.1875</v>
      </c>
      <c r="Z21" s="87">
        <f t="shared" si="1"/>
        <v>0</v>
      </c>
      <c r="AA21" s="87">
        <f t="shared" si="2"/>
        <v>0</v>
      </c>
      <c r="AB21" s="87">
        <f t="shared" si="3"/>
        <v>0</v>
      </c>
      <c r="AC21" s="87">
        <f t="shared" si="4"/>
        <v>0</v>
      </c>
      <c r="AD21" s="87">
        <f t="shared" si="6"/>
        <v>0.1875</v>
      </c>
    </row>
    <row r="22" spans="1:30" ht="180" x14ac:dyDescent="0.25">
      <c r="A22" s="36" t="s">
        <v>219</v>
      </c>
      <c r="B22" s="63" t="str">
        <f>+VLOOKUP(A22,S0!$C$2:$I$89,7)</f>
        <v>FI</v>
      </c>
      <c r="C22" s="114" t="s">
        <v>711</v>
      </c>
      <c r="D22" s="62" t="s">
        <v>709</v>
      </c>
      <c r="E22" s="64" t="str">
        <f>+VLOOKUP(A22,S0!$C$2:$I$89,3)</f>
        <v>Sociedad FI
Variante de ejercicio
Variante de periodos
Plan de cuentas
Clase de cuentas
Definición de monedas
Clases de documentos
Claves de contabilización
Documento financiero
Tipo de cambio
Ledgers paralelos
Sociedad GL</v>
      </c>
      <c r="F22" s="64" t="str">
        <f>+VLOOKUP(A22,S0!$C$2:$I$89,4)</f>
        <v xml:space="preserve">La estructura organizativa representa la vista jurídica u organizativa de la empresa y corresponde a un requisito esencial tanto para la determinación de los datos maestros, como para los procesos a definir en la empresa.
Asi mismo, abarca la definción de conceptos escenciales para dar soporte a los procesos contables. Por ejemplo, conceptos como: las Clases de documento, variante de ejercicio, variante de periodos, Claves de contabiización y otros. </v>
      </c>
      <c r="G22" s="64" t="str">
        <f>+VLOOKUP(A22,S0!$C$2:$I$89,5)</f>
        <v>- Las Sociedades FI pueden estar sujetas a alguna caracteristicas desde su creación por ejemplo:
        a) Plan de Cuentas Operativo y Plan de Cuentas País   ( Se define en Base a la Sociedad Matriz o Grupo )</v>
      </c>
      <c r="H22" s="64" t="str">
        <f>+VLOOKUP(A22,S0!$C$2:$I$89,6)</f>
        <v>"Revalorización en modena extranjera" Caso que se generea ingreso o gasto que de manera automática se imputa a un cebe o ceco.</v>
      </c>
      <c r="I22" s="46" t="s">
        <v>92</v>
      </c>
      <c r="J22" s="46" t="s">
        <v>87</v>
      </c>
      <c r="K22" s="99"/>
      <c r="L22" s="77">
        <f>+(VLOOKUP($A22,S0!$C$2:$Y$89,18)/8 * VLOOKUP($I22,Atributos!$A$28:$B$31,2) * VLOOKUP($J22,Atributos!$A$22:$B$25,2))/5</f>
        <v>3.7499999999999999E-2</v>
      </c>
      <c r="M22" s="37">
        <f>+(VLOOKUP($A22,S0!$C$2:$Y$89,19)/8 * VLOOKUP($I22,Atributos!$A$28:$B45,2) * VLOOKUP($J22,Atributos!$A$22:$B39,2))/5</f>
        <v>3.7499999999999999E-2</v>
      </c>
      <c r="N22" s="43">
        <f>+VLOOKUP($A22,S0!$C$2:$Y$89,20)/8 * VLOOKUP($I22,Atributos!$A$28:$B$31,2) * VLOOKUP($J22,Atributos!$A$22:$B$25,2)/5</f>
        <v>0.15</v>
      </c>
      <c r="O22" s="43">
        <f>+VLOOKUP($A22,S0!$C$2:$Y$89,21)/8 * VLOOKUP($I22,Atributos!$A$28:$B$31,2) * VLOOKUP($J22,Atributos!$A$22:$B$25,2)/5</f>
        <v>0.15</v>
      </c>
      <c r="P22" s="43">
        <f>+VLOOKUP($A22,S0!$C$2:$Y$89,22)/8 * VLOOKUP($I22,Atributos!$A$28:$B$31,2) * VLOOKUP($J22,Atributos!$A$22:$B$25,2)/5</f>
        <v>0</v>
      </c>
      <c r="Q22" s="43">
        <f>+VLOOKUP($A22,S0!$C$2:$Y$89,23)/8 * VLOOKUP($I22,Atributos!$A$28:$B$31,2) * VLOOKUP($J22,Atributos!$A$22:$B$25,2)/5</f>
        <v>0</v>
      </c>
      <c r="R22" s="43">
        <f t="shared" si="5"/>
        <v>0.33750000000000002</v>
      </c>
      <c r="S22" s="43">
        <f>+(VLOOKUP($A22,S0!$C$2:$Y$89,19)/8 * VLOOKUP($I22,Atributos!$A$28:$B$31,2) * VLOOKUP($J22,Atributos!$G$22:$H$25,2))/5</f>
        <v>2.5000000000000001E-2</v>
      </c>
      <c r="T22" s="43">
        <f>+VLOOKUP($A22,S0!$C$2:$Y$89,20)/8 * VLOOKUP($I22,Atributos!$A$28:$B$31,2) * VLOOKUP($J22,Atributos!$G$22:$H$25,2)/5</f>
        <v>0.1</v>
      </c>
      <c r="U22" s="43">
        <f>+VLOOKUP($A22,S0!$C$2:$Y$89,21)/8 * VLOOKUP($I22,Atributos!$A$28:$B$31,2) * VLOOKUP($J22,Atributos!$G$22:$H$25,2)/5</f>
        <v>0.1</v>
      </c>
      <c r="V22" s="43">
        <f>+VLOOKUP($A22,S0!$C$2:$Y$89,22)/8 * VLOOKUP($I22,Atributos!$A$28:$B$31,2) * VLOOKUP($J22,Atributos!$G$22:$H$25,2)/5</f>
        <v>0</v>
      </c>
      <c r="W22" s="43">
        <f>+VLOOKUP($A22,S0!$C$2:$Y$89,23)/8 * VLOOKUP($I22,Atributos!$A$28:$B$31,2) * VLOOKUP($J22,Atributos!$G$22:$H$25,2)/5</f>
        <v>0</v>
      </c>
      <c r="X22" s="43">
        <f t="shared" si="8"/>
        <v>0.22500000000000001</v>
      </c>
      <c r="Y22" s="87">
        <f t="shared" si="0"/>
        <v>3.125E-2</v>
      </c>
      <c r="Z22" s="87">
        <f t="shared" si="1"/>
        <v>0.125</v>
      </c>
      <c r="AA22" s="87">
        <f t="shared" si="2"/>
        <v>0.125</v>
      </c>
      <c r="AB22" s="87">
        <f t="shared" si="3"/>
        <v>0</v>
      </c>
      <c r="AC22" s="87">
        <f t="shared" si="4"/>
        <v>0</v>
      </c>
      <c r="AD22" s="87">
        <f t="shared" si="6"/>
        <v>0.28125</v>
      </c>
    </row>
    <row r="23" spans="1:30" ht="210" x14ac:dyDescent="0.25">
      <c r="A23" s="36" t="s">
        <v>225</v>
      </c>
      <c r="B23" s="63" t="str">
        <f>+VLOOKUP(A23,S0!$C$2:$I$89,7)</f>
        <v>FI</v>
      </c>
      <c r="C23" s="111" t="s">
        <v>673</v>
      </c>
      <c r="D23" s="62" t="s">
        <v>681</v>
      </c>
      <c r="E23" s="64" t="str">
        <f>+VLOOKUP(A23,S0!$C$2:$I$89,3)</f>
        <v>Plan de cuentas Operativo
-Segmento de Plan de Cuentas
-Segmento de Sociedad
Reportes</v>
      </c>
      <c r="F23" s="64" t="str">
        <f>+VLOOKUP(A23,S0!$C$2:$I$89,4)</f>
        <v>El maestro del Plan de Cuentas, agrupa la totalidad de las cuentas de mayor de la organización. En SAP, una sociedad puede gestionar tres planes de cuentas:
- Plan de cuentas operativo (es indispensable).
- Plan de cuentas de grupo.
- Plan de cuentas del país</v>
      </c>
      <c r="G23" s="64" t="str">
        <f>+VLOOKUP(A23,S0!$C$2:$I$89,5)</f>
        <v>1) Manejar en la Sociedad solo con el Plan Contable Operativo ( ejemplo :PCGE )
2) Manejar en la Sociedad Plan Contable Operativo y Alternativo ( ejemplo : CAPE (Opeativo ) y Alternativo PCGE  ( Local )
3) Opcional manejar Plan de Cuenta Grupo</v>
      </c>
      <c r="H23" s="64">
        <f>+VLOOKUP(A23,S0!$C$2:$I$89,6)</f>
        <v>0</v>
      </c>
      <c r="I23" s="46" t="s">
        <v>92</v>
      </c>
      <c r="J23" s="46" t="s">
        <v>87</v>
      </c>
      <c r="K23" s="99"/>
      <c r="L23" s="77">
        <f>+(VLOOKUP($A23,S0!$C$2:$Y$89,18)/8 * VLOOKUP($I23,Atributos!$A$28:$B$31,2) * VLOOKUP($J23,Atributos!$A$22:$B$25,2))/5</f>
        <v>3.7499999999999999E-2</v>
      </c>
      <c r="M23" s="37">
        <f>+(VLOOKUP($A23,S0!$C$2:$Y$89,19)/8 * VLOOKUP($I23,Atributos!$A$28:$B46,2) * VLOOKUP($J23,Atributos!$A$22:$B40,2))/5</f>
        <v>7.4999999999999997E-2</v>
      </c>
      <c r="N23" s="43">
        <f>+VLOOKUP($A23,S0!$C$2:$Y$89,20)/8 * VLOOKUP($I23,Atributos!$A$28:$B$31,2) * VLOOKUP($J23,Atributos!$A$22:$B$25,2)/5</f>
        <v>0.3</v>
      </c>
      <c r="O23" s="43">
        <f>+VLOOKUP($A23,S0!$C$2:$Y$89,21)/8 * VLOOKUP($I23,Atributos!$A$28:$B$31,2) * VLOOKUP($J23,Atributos!$A$22:$B$25,2)/5</f>
        <v>0.3</v>
      </c>
      <c r="P23" s="43">
        <f>+VLOOKUP($A23,S0!$C$2:$Y$89,22)/8 * VLOOKUP($I23,Atributos!$A$28:$B$31,2) * VLOOKUP($J23,Atributos!$A$22:$B$25,2)/5</f>
        <v>0.3</v>
      </c>
      <c r="Q23" s="43">
        <f>+VLOOKUP($A23,S0!$C$2:$Y$89,23)/8 * VLOOKUP($I23,Atributos!$A$28:$B$31,2) * VLOOKUP($J23,Atributos!$A$22:$B$25,2)/5</f>
        <v>0</v>
      </c>
      <c r="R23" s="43">
        <f t="shared" si="5"/>
        <v>0.97500000000000009</v>
      </c>
      <c r="S23" s="43">
        <f>+(VLOOKUP($A23,S0!$C$2:$Y$89,19)/8 * VLOOKUP($I23,Atributos!$A$28:$B$31,2) * VLOOKUP($J23,Atributos!$G$22:$H$25,2))/5</f>
        <v>2.5000000000000001E-2</v>
      </c>
      <c r="T23" s="43">
        <f>+VLOOKUP($A23,S0!$C$2:$Y$89,20)/8 * VLOOKUP($I23,Atributos!$A$28:$B$31,2) * VLOOKUP($J23,Atributos!$G$22:$H$25,2)/5</f>
        <v>0.2</v>
      </c>
      <c r="U23" s="43">
        <f>+VLOOKUP($A23,S0!$C$2:$Y$89,21)/8 * VLOOKUP($I23,Atributos!$A$28:$B$31,2) * VLOOKUP($J23,Atributos!$G$22:$H$25,2)/5</f>
        <v>0.2</v>
      </c>
      <c r="V23" s="43">
        <f>+VLOOKUP($A23,S0!$C$2:$Y$89,22)/8 * VLOOKUP($I23,Atributos!$A$28:$B$31,2) * VLOOKUP($J23,Atributos!$G$22:$H$25,2)/5</f>
        <v>0.2</v>
      </c>
      <c r="W23" s="43">
        <f>+VLOOKUP($A23,S0!$C$2:$Y$89,23)/8 * VLOOKUP($I23,Atributos!$A$28:$B$31,2) * VLOOKUP($J23,Atributos!$G$22:$H$25,2)/5</f>
        <v>0</v>
      </c>
      <c r="X23" s="43">
        <f t="shared" si="8"/>
        <v>0.625</v>
      </c>
      <c r="Y23" s="87">
        <f t="shared" si="0"/>
        <v>0.05</v>
      </c>
      <c r="Z23" s="87">
        <f t="shared" si="1"/>
        <v>0.25</v>
      </c>
      <c r="AA23" s="87">
        <f t="shared" si="2"/>
        <v>0.25</v>
      </c>
      <c r="AB23" s="87">
        <f t="shared" si="3"/>
        <v>0.25</v>
      </c>
      <c r="AC23" s="87">
        <f t="shared" si="4"/>
        <v>0</v>
      </c>
      <c r="AD23" s="87">
        <f t="shared" si="6"/>
        <v>0.8</v>
      </c>
    </row>
    <row r="24" spans="1:30" ht="240" x14ac:dyDescent="0.25">
      <c r="A24" s="36" t="s">
        <v>232</v>
      </c>
      <c r="B24" s="63" t="str">
        <f>+VLOOKUP(A24,S0!$C$2:$I$89,7)</f>
        <v>FI</v>
      </c>
      <c r="C24" s="111" t="s">
        <v>285</v>
      </c>
      <c r="D24" s="62" t="s">
        <v>694</v>
      </c>
      <c r="E24" s="64" t="str">
        <f>+VLOOKUP(A24,S0!$C$2:$I$89,3)</f>
        <v>Maestro de Activos Fijos</v>
      </c>
      <c r="F24" s="64" t="str">
        <f>+VLOOKUP(A24,S0!$C$2:$I$89,4)</f>
        <v>El maestro de activos fijos centraliza la administración de los activos fijos mediante la creación y mantenimiento de códigos únicos de AF. Bajos los cuales se contabilizan las altas, bajas, traslados, depreciación u otras operaciones. Los códigos de activos fijos dan soporte a los procesos de activos fijos y permite un análisis contable por código de activo. </v>
      </c>
      <c r="G24" s="64" t="str">
        <f>+VLOOKUP(A24,S0!$C$2:$I$89,5)</f>
        <v>1) Manejar diferentes Areas de Valoración para su tratamiento Contable,Tributario o de Revaluaciones
2) Manejar diferentes tipos de Clave de Amortización : Ejemplo Lineal o por Unidades Producidas. 
3) Llevar el control de las Altas, Bajas y traspasos de las diferentes clases de activos dependiendo de sus Vida Utiles</v>
      </c>
      <c r="H24" s="64">
        <f>+VLOOKUP(A24,S0!$C$2:$I$89,6)</f>
        <v>0</v>
      </c>
      <c r="I24" s="46" t="s">
        <v>93</v>
      </c>
      <c r="J24" s="46" t="s">
        <v>88</v>
      </c>
      <c r="K24" s="99" t="s">
        <v>622</v>
      </c>
      <c r="L24" s="77">
        <f>+(VLOOKUP($A24,S0!$C$2:$Y$89,18)/8 * VLOOKUP($I24,Atributos!$A$28:$B$31,2) * VLOOKUP($J24,Atributos!$A$22:$B$25,2))/5</f>
        <v>8.4375000000000006E-2</v>
      </c>
      <c r="M24" s="37">
        <f>+(VLOOKUP($A24,S0!$C$2:$Y$89,19)/8 * VLOOKUP($I24,Atributos!$A$28:$B47,2) * VLOOKUP($J24,Atributos!$A$22:$B41,2))/5</f>
        <v>0.16875000000000001</v>
      </c>
      <c r="N24" s="43">
        <f>+VLOOKUP($A24,S0!$C$2:$Y$89,20)/8 * VLOOKUP($I24,Atributos!$A$28:$B$31,2) * VLOOKUP($J24,Atributos!$A$22:$B$25,2)/5</f>
        <v>0.67500000000000004</v>
      </c>
      <c r="O24" s="43">
        <f>+VLOOKUP($A24,S0!$C$2:$Y$89,21)/8 * VLOOKUP($I24,Atributos!$A$28:$B$31,2) * VLOOKUP($J24,Atributos!$A$22:$B$25,2)/5</f>
        <v>0.67500000000000004</v>
      </c>
      <c r="P24" s="43">
        <f>+VLOOKUP($A24,S0!$C$2:$Y$89,22)/8 * VLOOKUP($I24,Atributos!$A$28:$B$31,2) * VLOOKUP($J24,Atributos!$A$22:$B$25,2)/5</f>
        <v>0.67500000000000004</v>
      </c>
      <c r="Q24" s="43">
        <f>+VLOOKUP($A24,S0!$C$2:$Y$89,23)/8 * VLOOKUP($I24,Atributos!$A$28:$B$31,2) * VLOOKUP($J24,Atributos!$A$22:$B$25,2)/5</f>
        <v>0</v>
      </c>
      <c r="R24" s="43">
        <f t="shared" si="5"/>
        <v>2.1937500000000001</v>
      </c>
      <c r="S24" s="43">
        <f>+(VLOOKUP($A24,S0!$C$2:$Y$89,19)/8 * VLOOKUP($I24,Atributos!$A$28:$B$31,2) * VLOOKUP($J24,Atributos!$G$22:$H$25,2))/5</f>
        <v>5.6250000000000001E-2</v>
      </c>
      <c r="T24" s="43">
        <f>+VLOOKUP($A24,S0!$C$2:$Y$89,20)/8 * VLOOKUP($I24,Atributos!$A$28:$B$31,2) * VLOOKUP($J24,Atributos!$G$22:$H$25,2)/5</f>
        <v>0.45</v>
      </c>
      <c r="U24" s="43">
        <f>+VLOOKUP($A24,S0!$C$2:$Y$89,21)/8 * VLOOKUP($I24,Atributos!$A$28:$B$31,2) * VLOOKUP($J24,Atributos!$G$22:$H$25,2)/5</f>
        <v>0.45</v>
      </c>
      <c r="V24" s="43">
        <f>+VLOOKUP($A24,S0!$C$2:$Y$89,22)/8 * VLOOKUP($I24,Atributos!$A$28:$B$31,2) * VLOOKUP($J24,Atributos!$G$22:$H$25,2)/5</f>
        <v>0.45</v>
      </c>
      <c r="W24" s="43">
        <f>+VLOOKUP($A24,S0!$C$2:$Y$89,23)/8 * VLOOKUP($I24,Atributos!$A$28:$B$31,2) * VLOOKUP($J24,Atributos!$G$22:$H$25,2)/5</f>
        <v>0</v>
      </c>
      <c r="X24" s="43">
        <f t="shared" si="8"/>
        <v>1.40625</v>
      </c>
      <c r="Y24" s="87">
        <f t="shared" si="0"/>
        <v>0.1125</v>
      </c>
      <c r="Z24" s="87">
        <f t="shared" si="1"/>
        <v>0.5625</v>
      </c>
      <c r="AA24" s="87">
        <f t="shared" si="2"/>
        <v>0.5625</v>
      </c>
      <c r="AB24" s="87">
        <f t="shared" si="3"/>
        <v>0.5625</v>
      </c>
      <c r="AC24" s="87">
        <f t="shared" si="4"/>
        <v>0</v>
      </c>
      <c r="AD24" s="87">
        <f t="shared" si="6"/>
        <v>1.8</v>
      </c>
    </row>
    <row r="25" spans="1:30" ht="90" x14ac:dyDescent="0.25">
      <c r="A25" s="36" t="s">
        <v>241</v>
      </c>
      <c r="B25" s="63" t="str">
        <f>+VLOOKUP(A25,S0!$C$2:$I$89,7)</f>
        <v>FI</v>
      </c>
      <c r="C25" s="111" t="s">
        <v>242</v>
      </c>
      <c r="D25" s="62" t="s">
        <v>695</v>
      </c>
      <c r="E25" s="64" t="str">
        <f>+VLOOKUP(A25,S0!$C$2:$I$89,3)</f>
        <v>Maestro de Bancos
Bancos propios
Cuentas bancarias</v>
      </c>
      <c r="F25" s="64" t="str">
        <f>+VLOOKUP(A25,S0!$C$2:$I$89,4)</f>
        <v xml:space="preserve">Con la gestión de cuentas bancarias el área de tesorería puede centralizar la gestión de cuentas bancarias utilizando los datos maestros de cuentas bancarias. </v>
      </c>
      <c r="G25" s="64" t="str">
        <f>+VLOOKUP(A25,S0!$C$2:$I$89,5)</f>
        <v>1) Crear Bancos País 
2) Crear Bancos Propios
3) Crear Cuentas Bancarias de Bancos Propios.</v>
      </c>
      <c r="H25" s="64">
        <f>+VLOOKUP(A25,S0!$C$2:$I$89,6)</f>
        <v>0</v>
      </c>
      <c r="I25" s="46" t="s">
        <v>92</v>
      </c>
      <c r="J25" s="46" t="s">
        <v>87</v>
      </c>
      <c r="K25" s="99"/>
      <c r="L25" s="77">
        <f>+(VLOOKUP($A25,S0!$C$2:$Y$89,18)/8 * VLOOKUP($I25,Atributos!$A$28:$B$31,2) * VLOOKUP($J25,Atributos!$A$22:$B$25,2))/5</f>
        <v>3.7499999999999999E-2</v>
      </c>
      <c r="M25" s="37">
        <f>+(VLOOKUP($A25,S0!$C$2:$Y$89,19)/8 * VLOOKUP($I25,Atributos!$A$28:$B48,2) * VLOOKUP($J25,Atributos!$A$22:$B42,2))/5</f>
        <v>0.1</v>
      </c>
      <c r="N25" s="43">
        <f>+VLOOKUP($A25,S0!$C$2:$Y$89,20)/8 * VLOOKUP($I25,Atributos!$A$28:$B$31,2) * VLOOKUP($J25,Atributos!$A$22:$B$25,2)/5</f>
        <v>0.3</v>
      </c>
      <c r="O25" s="43">
        <f>+VLOOKUP($A25,S0!$C$2:$Y$89,21)/8 * VLOOKUP($I25,Atributos!$A$28:$B$31,2) * VLOOKUP($J25,Atributos!$A$22:$B$25,2)/5</f>
        <v>0.3</v>
      </c>
      <c r="P25" s="43">
        <f>+VLOOKUP($A25,S0!$C$2:$Y$89,22)/8 * VLOOKUP($I25,Atributos!$A$28:$B$31,2) * VLOOKUP($J25,Atributos!$A$22:$B$25,2)/5</f>
        <v>0.3</v>
      </c>
      <c r="Q25" s="43">
        <f>+VLOOKUP($A25,S0!$C$2:$Y$89,23)/8 * VLOOKUP($I25,Atributos!$A$28:$B$31,2) * VLOOKUP($J25,Atributos!$A$22:$B$25,2)/5</f>
        <v>0</v>
      </c>
      <c r="R25" s="43">
        <f t="shared" si="5"/>
        <v>1</v>
      </c>
      <c r="S25" s="43">
        <f>+(VLOOKUP($A25,S0!$C$2:$Y$89,19)/8 * VLOOKUP($I25,Atributos!$A$28:$B$31,2) * VLOOKUP($J25,Atributos!$G$22:$H$25,2))/5</f>
        <v>2.5000000000000001E-2</v>
      </c>
      <c r="T25" s="43">
        <f>+VLOOKUP($A25,S0!$C$2:$Y$89,20)/8 * VLOOKUP($I25,Atributos!$A$28:$B$31,2) * VLOOKUP($J25,Atributos!$G$22:$H$25,2)/5</f>
        <v>0.2</v>
      </c>
      <c r="U25" s="43">
        <f>+VLOOKUP($A25,S0!$C$2:$Y$89,21)/8 * VLOOKUP($I25,Atributos!$A$28:$B$31,2) * VLOOKUP($J25,Atributos!$G$22:$H$25,2)/5</f>
        <v>0.2</v>
      </c>
      <c r="V25" s="43">
        <f>+VLOOKUP($A25,S0!$C$2:$Y$89,22)/8 * VLOOKUP($I25,Atributos!$A$28:$B$31,2) * VLOOKUP($J25,Atributos!$G$22:$H$25,2)/5</f>
        <v>0.2</v>
      </c>
      <c r="W25" s="43">
        <f>+VLOOKUP($A25,S0!$C$2:$Y$89,23)/8 * VLOOKUP($I25,Atributos!$A$28:$B$31,2) * VLOOKUP($J25,Atributos!$G$22:$H$25,2)/5</f>
        <v>0</v>
      </c>
      <c r="X25" s="43">
        <f t="shared" si="8"/>
        <v>0.625</v>
      </c>
      <c r="Y25" s="87">
        <f t="shared" si="0"/>
        <v>6.25E-2</v>
      </c>
      <c r="Z25" s="87">
        <f t="shared" si="1"/>
        <v>0.25</v>
      </c>
      <c r="AA25" s="87">
        <f t="shared" si="2"/>
        <v>0.25</v>
      </c>
      <c r="AB25" s="87">
        <f t="shared" si="3"/>
        <v>0.25</v>
      </c>
      <c r="AC25" s="87">
        <f t="shared" si="4"/>
        <v>0</v>
      </c>
      <c r="AD25" s="87">
        <f t="shared" si="6"/>
        <v>0.8125</v>
      </c>
    </row>
    <row r="26" spans="1:30" ht="135" x14ac:dyDescent="0.25">
      <c r="A26" s="36" t="s">
        <v>249</v>
      </c>
      <c r="B26" s="63" t="str">
        <f>+VLOOKUP(A26,S0!$C$2:$I$89,7)</f>
        <v>FI</v>
      </c>
      <c r="C26" s="111" t="s">
        <v>673</v>
      </c>
      <c r="D26" s="62" t="s">
        <v>681</v>
      </c>
      <c r="E26" s="64" t="str">
        <f>+VLOOKUP(A26,S0!$C$2:$I$89,3)</f>
        <v>Registro de Asientos de Diario
Registro de Asientos de provisiones
Asientos periódicos
Anulación de registros
Desglose de documentos
Reportes</v>
      </c>
      <c r="F26" s="64" t="str">
        <f>+VLOOKUP(A26,S0!$C$2:$I$89,4)</f>
        <v xml:space="preserve">En SAP S/4HANA este proceso proporciona soporte a la gestión de la información financiera referida a la evaluación y generación de los reportes de resultados y de cuentas de balance. Por lo que, permite la emisión de documentos de contabilidad general, como asientos diarios o asientos periódicos. </v>
      </c>
      <c r="G26" s="64" t="str">
        <f>+VLOOKUP(A26,S0!$C$2:$I$89,5)</f>
        <v>1) Provisiones y Extornos   ( Afectos o Inafectos )  
2) Reclasificaciones
2) Asientos Periodicos por concepto de Alquileres
3) Anulaciones de documentos.</v>
      </c>
      <c r="H26" s="64">
        <f>+VLOOKUP(A26,S0!$C$2:$I$89,6)</f>
        <v>0</v>
      </c>
      <c r="I26" s="46" t="s">
        <v>92</v>
      </c>
      <c r="J26" s="46" t="s">
        <v>87</v>
      </c>
      <c r="K26" s="99"/>
      <c r="L26" s="77">
        <f>+(VLOOKUP($A26,S0!$C$2:$Y$89,18)/8 * VLOOKUP($I26,Atributos!$A$28:$B$31,2) * VLOOKUP($J26,Atributos!$A$22:$B$25,2))/5</f>
        <v>3.7499999999999999E-2</v>
      </c>
      <c r="M26" s="37">
        <f>+(VLOOKUP($A26,S0!$C$2:$Y$89,19)/8 * VLOOKUP($I26,Atributos!$A$28:$B49,2) * VLOOKUP($J26,Atributos!$A$22:$B43,2))/5</f>
        <v>0.2</v>
      </c>
      <c r="N26" s="43">
        <f>+VLOOKUP($A26,S0!$C$2:$Y$89,20)/8 * VLOOKUP($I26,Atributos!$A$28:$B$31,2) * VLOOKUP($J26,Atributos!$A$22:$B$25,2)/5</f>
        <v>0.6</v>
      </c>
      <c r="O26" s="43">
        <f>+VLOOKUP($A26,S0!$C$2:$Y$89,21)/8 * VLOOKUP($I26,Atributos!$A$28:$B$31,2) * VLOOKUP($J26,Atributos!$A$22:$B$25,2)/5</f>
        <v>1.2</v>
      </c>
      <c r="P26" s="43">
        <f>+VLOOKUP($A26,S0!$C$2:$Y$89,22)/8 * VLOOKUP($I26,Atributos!$A$28:$B$31,2) * VLOOKUP($J26,Atributos!$A$22:$B$25,2)/5</f>
        <v>0.3</v>
      </c>
      <c r="Q26" s="43">
        <f>+VLOOKUP($A26,S0!$C$2:$Y$89,23)/8 * VLOOKUP($I26,Atributos!$A$28:$B$31,2) * VLOOKUP($J26,Atributos!$A$22:$B$25,2)/5</f>
        <v>0.3</v>
      </c>
      <c r="R26" s="43">
        <f t="shared" si="5"/>
        <v>2.2999999999999998</v>
      </c>
      <c r="S26" s="43">
        <f>+(VLOOKUP($A26,S0!$C$2:$Y$89,19)/8 * VLOOKUP($I26,Atributos!$A$28:$B$31,2) * VLOOKUP($J26,Atributos!$G$22:$H$25,2))/5</f>
        <v>0.05</v>
      </c>
      <c r="T26" s="43">
        <f>+VLOOKUP($A26,S0!$C$2:$Y$89,20)/8 * VLOOKUP($I26,Atributos!$A$28:$B$31,2) * VLOOKUP($J26,Atributos!$G$22:$H$25,2)/5</f>
        <v>0.4</v>
      </c>
      <c r="U26" s="43">
        <f>+VLOOKUP($A26,S0!$C$2:$Y$89,21)/8 * VLOOKUP($I26,Atributos!$A$28:$B$31,2) * VLOOKUP($J26,Atributos!$G$22:$H$25,2)/5</f>
        <v>0.8</v>
      </c>
      <c r="V26" s="43">
        <f>+VLOOKUP($A26,S0!$C$2:$Y$89,22)/8 * VLOOKUP($I26,Atributos!$A$28:$B$31,2) * VLOOKUP($J26,Atributos!$G$22:$H$25,2)/5</f>
        <v>0.2</v>
      </c>
      <c r="W26" s="43">
        <f>+VLOOKUP($A26,S0!$C$2:$Y$89,23)/8 * VLOOKUP($I26,Atributos!$A$28:$B$31,2) * VLOOKUP($J26,Atributos!$G$22:$H$25,2)/5</f>
        <v>0.2</v>
      </c>
      <c r="X26" s="43">
        <f t="shared" si="8"/>
        <v>1.45</v>
      </c>
      <c r="Y26" s="87">
        <f t="shared" si="0"/>
        <v>0.125</v>
      </c>
      <c r="Z26" s="87">
        <f t="shared" si="1"/>
        <v>0.5</v>
      </c>
      <c r="AA26" s="87">
        <f t="shared" si="2"/>
        <v>1</v>
      </c>
      <c r="AB26" s="87">
        <f t="shared" si="3"/>
        <v>0.25</v>
      </c>
      <c r="AC26" s="87">
        <f t="shared" si="4"/>
        <v>0.25</v>
      </c>
      <c r="AD26" s="87">
        <f t="shared" si="6"/>
        <v>1.875</v>
      </c>
    </row>
    <row r="27" spans="1:30" ht="409.5" x14ac:dyDescent="0.25">
      <c r="A27" s="36" t="s">
        <v>255</v>
      </c>
      <c r="B27" s="63" t="str">
        <f>+VLOOKUP(A27,S0!$C$2:$I$89,7)</f>
        <v>FI</v>
      </c>
      <c r="C27" s="111" t="s">
        <v>256</v>
      </c>
      <c r="D27" s="62" t="s">
        <v>696</v>
      </c>
      <c r="E27" s="64" t="str">
        <f>+VLOOKUP(A27,S0!$C$2:$I$89,3)</f>
        <v>Maestro de Interlocutor Comercial (Acreedores o Proveedores)
Registro de Facturas y otros Comprobantes de Proveedor
- Registro de Comprobantes por Finanzas (FI)
- Registro de Comprobantes Con Orden de Compra (MM)
Indicadores de impuestos Compras
Percepciones por compra
Registro de Comprobantes de Importación de bienes
Registro de IGV no domiciliado
Solicitudes de Anticipo Acreedor
Retenciones en la factura
- Detracciones de IGV
- Retenciones no Domiciliados
- Retenciones dietas
Retenciones en el pago
- Retenciones de IGV
- Retenciones de 4ta categoría
Anulación de Registro
Registros preliminares
Cuenta de mayor especial (CME)
Compensaciones
- Con anticipos
- Con N/D y N/C
- Canje de letras
- Factura Negociable
o	Factoring
o	Compensación Deudor/Acreedor
o	Anulación de compensación
Reportes</v>
      </c>
      <c r="F27" s="64" t="str">
        <f>+VLOOKUP(A27,S0!$C$2:$I$89,4)</f>
        <v xml:space="preserve">El proceso de cuentas por pagar comprende básicamente la contabilidad en acreedores producto de las operaciones de adquisición de bienes o servicios que generen una obligación de pago. 
Los acreedores cuentan con un código único en el maestro de Business Partner bajo el cual se registran sus operaciones y permiten el análisis auxiliar por cuenta acreedora. 
Así mismo se contabilizan facturas y abonos, se registran pagos y anticipos, se gestionan los valores entregados como medios de pago y al contabilizar datos en acreedores, el sistema crea un documento contable y transfiere los datos introducidos al libro mayor y según corresponda al Libro de Compras. </v>
      </c>
      <c r="G27" s="64" t="str">
        <f>+VLOOKUP(A27,S0!$C$2:$I$89,5)</f>
        <v>1)  Registro de Comprobantes por Finanzas ( Todos los documentos SUNAT )
2) Registro de Comprobantes usando los diferentes tipos de Indicadores de Impuestos.
3) Registro de FActura de No Domiciliado , Provisión IGV No Domiciliado y Extorno provisión IGV
4) Registro de Formulario de Declaración - pago o Boleta de pago de tributos Internos 
5) Generar Solicitudes de Anticipo y su respectiva Contabilización.
6) Anulaciones de Registros o Comprobantes
7) Creación de documentos preliminares antes de su contabilización
8) Redireccionamiento de Cuentas a través del uso del CME 
9) Compensaciones Parciales o Totales de la cuentas por pagar.  Letras, Factura Negociable y Facttoring
10) Compensaciones entre Deudores(CXC) y Acreedores ( CXP)
11) Descompesación de documentos de pago</v>
      </c>
      <c r="H27" s="64" t="str">
        <f>+VLOOKUP(A27,S0!$C$2:$I$89,6)</f>
        <v>Los indicadores de impuestos están asociado al IGV. No está considerado otro tipo de impuesto como ISC, impuestos especiales de sectores industriales, FISE, Rodamiento, impuestos a los plásticos, etc</v>
      </c>
      <c r="I27" s="46" t="s">
        <v>92</v>
      </c>
      <c r="J27" s="46" t="s">
        <v>87</v>
      </c>
      <c r="K27" s="99"/>
      <c r="L27" s="77">
        <f>+(VLOOKUP($A27,S0!$C$2:$Y$89,18)/8 * VLOOKUP($I27,Atributos!$A$28:$B$31,2) * VLOOKUP($J27,Atributos!$A$22:$B$25,2))/5</f>
        <v>3.7499999999999999E-2</v>
      </c>
      <c r="M27" s="37">
        <f>+(VLOOKUP($A27,S0!$C$2:$Y$89,19)/8 * VLOOKUP($I27,Atributos!$A$28:$B50,2) * VLOOKUP($J27,Atributos!$A$22:$B44,2))/5</f>
        <v>0.2</v>
      </c>
      <c r="N27" s="43">
        <f>+VLOOKUP($A27,S0!$C$2:$Y$89,20)/8 * VLOOKUP($I27,Atributos!$A$28:$B$31,2) * VLOOKUP($J27,Atributos!$A$22:$B$25,2)/5</f>
        <v>0.6</v>
      </c>
      <c r="O27" s="43">
        <f>+VLOOKUP($A27,S0!$C$2:$Y$89,21)/8 * VLOOKUP($I27,Atributos!$A$28:$B$31,2) * VLOOKUP($J27,Atributos!$A$22:$B$25,2)/5</f>
        <v>1.2</v>
      </c>
      <c r="P27" s="43">
        <f>+VLOOKUP($A27,S0!$C$2:$Y$89,22)/8 * VLOOKUP($I27,Atributos!$A$28:$B$31,2) * VLOOKUP($J27,Atributos!$A$22:$B$25,2)/5</f>
        <v>0.3</v>
      </c>
      <c r="Q27" s="43">
        <f>+VLOOKUP($A27,S0!$C$2:$Y$89,23)/8 * VLOOKUP($I27,Atributos!$A$28:$B$31,2) * VLOOKUP($J27,Atributos!$A$22:$B$25,2)/5</f>
        <v>0.3</v>
      </c>
      <c r="R27" s="43">
        <f t="shared" si="5"/>
        <v>2.2999999999999998</v>
      </c>
      <c r="S27" s="43">
        <f>+(VLOOKUP($A27,S0!$C$2:$Y$89,19)/8 * VLOOKUP($I27,Atributos!$A$28:$B$31,2) * VLOOKUP($J27,Atributos!$G$22:$H$25,2))/5</f>
        <v>0.05</v>
      </c>
      <c r="T27" s="43">
        <f>+VLOOKUP($A27,S0!$C$2:$Y$89,20)/8 * VLOOKUP($I27,Atributos!$A$28:$B$31,2) * VLOOKUP($J27,Atributos!$G$22:$H$25,2)/5</f>
        <v>0.4</v>
      </c>
      <c r="U27" s="43">
        <f>+VLOOKUP($A27,S0!$C$2:$Y$89,21)/8 * VLOOKUP($I27,Atributos!$A$28:$B$31,2) * VLOOKUP($J27,Atributos!$G$22:$H$25,2)/5</f>
        <v>0.8</v>
      </c>
      <c r="V27" s="43">
        <f>+VLOOKUP($A27,S0!$C$2:$Y$89,22)/8 * VLOOKUP($I27,Atributos!$A$28:$B$31,2) * VLOOKUP($J27,Atributos!$G$22:$H$25,2)/5</f>
        <v>0.2</v>
      </c>
      <c r="W27" s="43">
        <f>+VLOOKUP($A27,S0!$C$2:$Y$89,23)/8 * VLOOKUP($I27,Atributos!$A$28:$B$31,2) * VLOOKUP($J27,Atributos!$G$22:$H$25,2)/5</f>
        <v>0.2</v>
      </c>
      <c r="X27" s="43">
        <f t="shared" si="8"/>
        <v>1.45</v>
      </c>
      <c r="Y27" s="87">
        <f t="shared" si="0"/>
        <v>0.125</v>
      </c>
      <c r="Z27" s="87">
        <f t="shared" si="1"/>
        <v>0.5</v>
      </c>
      <c r="AA27" s="87">
        <f t="shared" si="2"/>
        <v>1</v>
      </c>
      <c r="AB27" s="87">
        <f t="shared" si="3"/>
        <v>0.25</v>
      </c>
      <c r="AC27" s="87">
        <f t="shared" si="4"/>
        <v>0.25</v>
      </c>
      <c r="AD27" s="87">
        <f t="shared" si="6"/>
        <v>1.875</v>
      </c>
    </row>
    <row r="28" spans="1:30" ht="409.5" x14ac:dyDescent="0.25">
      <c r="A28" s="36" t="s">
        <v>262</v>
      </c>
      <c r="B28" s="63" t="str">
        <f>+VLOOKUP(A28,S0!$C$2:$I$89,7)</f>
        <v>FI</v>
      </c>
      <c r="C28" s="111" t="s">
        <v>256</v>
      </c>
      <c r="D28" s="62" t="s">
        <v>696</v>
      </c>
      <c r="E28" s="64" t="str">
        <f>+VLOOKUP(A28,S0!$C$2:$I$89,3)</f>
        <v>Registro de otras Cuentas por Pagar (Prestamos con terceros o vinculadas, Pagares, Financiamientos, Cuotas de Leasing)
Impuestos
Caja Chica 
- Constitución de Caja Chica por medio de anticipo.
- Registro de Facturas y otros Comprobantes de Proveedor
- Liquidación de documentos
- Reposición de Caja Chica
Entregas a Rendir 
- Solicitud (anticipo) 
- Registro de Salidas a Rendir (Pago a colaborador)
- Registro de facturas
- Liquidación de Gastos
Desembolsos
- Registro de facturas por pagar
- Compensación de facturas por pagar contra cuenta por pagar al trabajador
- Reposición al trabajador
Tarjetas de crédito empresariales
- Registro de facturas por pagar
- Compensación de comprobantes de pago contra cuenta de tarjetas de crédito
- Registro de cuenta tarjetas de crédito contra cuenta bancos
Reportes</v>
      </c>
      <c r="F28" s="64" t="str">
        <f>+VLOOKUP(A28,S0!$C$2:$I$89,4)</f>
        <v>El proceso de Otras cuentas por pagar abarca el registro en acreedores de operaciones no core de negocio. Tales como financiamientos, impuestos, entredas a rendir, caja chica.</v>
      </c>
      <c r="G28" s="64" t="str">
        <f>+VLOOKUP(A28,S0!$C$2:$I$89,5)</f>
        <v>1)  Generar documentos por Préstamos a Terceros o Vinculadas 
2) Generar documentos por Obligaciones Bancarias ( Pagarés ); incluyendo sus amortizaciones y cancelaciones
3) Generar documentos por Financiamientos con Bancos;  incluyendo sus amortizaciones y cancelaciones.
4) Registros de Cuotas de Leasing ( Devengamiento incluyendo Intereses ).
5) Registar los impuestos por Pagar ( IGV) contra la SUNAT.
6) Registro, liquidación y reposición Caja Chica 
7) Permite registrar Solicitud de Entregas a Rendir, registros de comprobantes y liquidación.
8) Registrar Desembolsos a Empleados por gestionar compras menores a nombre de la Empresa. Registrar comprobante y reposición del dinero al Empleado.
9) Permitir liquidaciones de tarjetas de crédito empresarial contra los comprobantes incurridos.</v>
      </c>
      <c r="H28" s="64" t="str">
        <f>+VLOOKUP(A28,S0!$C$2:$I$89,6)</f>
        <v>Los indicadores de impuestos están asociado al IGV. No está considerado otro tipo de impuesto como ISC, impuestos especiales de sectores industriales, FISE, Rodamiento, impuestos a los plásticos, etc</v>
      </c>
      <c r="I28" s="46" t="s">
        <v>92</v>
      </c>
      <c r="J28" s="46" t="s">
        <v>87</v>
      </c>
      <c r="K28" s="99"/>
      <c r="L28" s="77">
        <f>+(VLOOKUP($A28,S0!$C$2:$Y$89,18)/8 * VLOOKUP($I28,Atributos!$A$28:$B$31,2) * VLOOKUP($J28,Atributos!$A$22:$B$25,2))/5</f>
        <v>3.7499999999999999E-2</v>
      </c>
      <c r="M28" s="37">
        <f>+(VLOOKUP($A28,S0!$C$2:$Y$89,19)/8 * VLOOKUP($I28,Atributos!$A$28:$B51,2) * VLOOKUP($J28,Atributos!$A$22:$B45,2))/5</f>
        <v>0.2</v>
      </c>
      <c r="N28" s="43">
        <f>+VLOOKUP($A28,S0!$C$2:$Y$89,20)/8 * VLOOKUP($I28,Atributos!$A$28:$B$31,2) * VLOOKUP($J28,Atributos!$A$22:$B$25,2)/5</f>
        <v>0.6</v>
      </c>
      <c r="O28" s="43">
        <f>+VLOOKUP($A28,S0!$C$2:$Y$89,21)/8 * VLOOKUP($I28,Atributos!$A$28:$B$31,2) * VLOOKUP($J28,Atributos!$A$22:$B$25,2)/5</f>
        <v>1.2</v>
      </c>
      <c r="P28" s="43">
        <f>+VLOOKUP($A28,S0!$C$2:$Y$89,22)/8 * VLOOKUP($I28,Atributos!$A$28:$B$31,2) * VLOOKUP($J28,Atributos!$A$22:$B$25,2)/5</f>
        <v>0.3</v>
      </c>
      <c r="Q28" s="43">
        <f>+VLOOKUP($A28,S0!$C$2:$Y$89,23)/8 * VLOOKUP($I28,Atributos!$A$28:$B$31,2) * VLOOKUP($J28,Atributos!$A$22:$B$25,2)/5</f>
        <v>0.3</v>
      </c>
      <c r="R28" s="43">
        <f t="shared" si="5"/>
        <v>2.2999999999999998</v>
      </c>
      <c r="S28" s="43">
        <f>+(VLOOKUP($A28,S0!$C$2:$Y$89,19)/8 * VLOOKUP($I28,Atributos!$A$28:$B$31,2) * VLOOKUP($J28,Atributos!$G$22:$H$25,2))/5</f>
        <v>0.05</v>
      </c>
      <c r="T28" s="43">
        <f>+VLOOKUP($A28,S0!$C$2:$Y$89,20)/8 * VLOOKUP($I28,Atributos!$A$28:$B$31,2) * VLOOKUP($J28,Atributos!$G$22:$H$25,2)/5</f>
        <v>0.4</v>
      </c>
      <c r="U28" s="43">
        <f>+VLOOKUP($A28,S0!$C$2:$Y$89,21)/8 * VLOOKUP($I28,Atributos!$A$28:$B$31,2) * VLOOKUP($J28,Atributos!$G$22:$H$25,2)/5</f>
        <v>0.8</v>
      </c>
      <c r="V28" s="43">
        <f>+VLOOKUP($A28,S0!$C$2:$Y$89,22)/8 * VLOOKUP($I28,Atributos!$A$28:$B$31,2) * VLOOKUP($J28,Atributos!$G$22:$H$25,2)/5</f>
        <v>0.2</v>
      </c>
      <c r="W28" s="43">
        <f>+VLOOKUP($A28,S0!$C$2:$Y$89,23)/8 * VLOOKUP($I28,Atributos!$A$28:$B$31,2) * VLOOKUP($J28,Atributos!$G$22:$H$25,2)/5</f>
        <v>0.2</v>
      </c>
      <c r="X28" s="43">
        <f t="shared" si="8"/>
        <v>1.45</v>
      </c>
      <c r="Y28" s="87">
        <f t="shared" si="0"/>
        <v>0.125</v>
      </c>
      <c r="Z28" s="87">
        <f t="shared" si="1"/>
        <v>0.5</v>
      </c>
      <c r="AA28" s="87">
        <f t="shared" si="2"/>
        <v>1</v>
      </c>
      <c r="AB28" s="87">
        <f t="shared" si="3"/>
        <v>0.25</v>
      </c>
      <c r="AC28" s="87">
        <f t="shared" si="4"/>
        <v>0.25</v>
      </c>
      <c r="AD28" s="87">
        <f t="shared" si="6"/>
        <v>1.875</v>
      </c>
    </row>
    <row r="29" spans="1:30" ht="315" x14ac:dyDescent="0.25">
      <c r="A29" s="36" t="s">
        <v>267</v>
      </c>
      <c r="B29" s="63" t="str">
        <f>+VLOOKUP(A29,S0!$C$2:$I$89,7)</f>
        <v>FI</v>
      </c>
      <c r="C29" s="111" t="s">
        <v>256</v>
      </c>
      <c r="D29" s="62" t="s">
        <v>696</v>
      </c>
      <c r="E29" s="64" t="str">
        <f>+VLOOKUP(A29,S0!$C$2:$I$89,3)</f>
        <v>Anticipo a Proveedores
Pago Individuales y Masivos
- Con nota de crédito (aplicación)
- Con Cheque 
- Con Transferencia Electrónica
- Pagos Interbancarios
Pago de Planillas de RRHH
Pagos Parciales
Retenciones en el pago
Anulación de pagos
Vías de pago
Bloqueos de pago
Condición de pago
Reportes</v>
      </c>
      <c r="F29" s="64" t="str">
        <f>+VLOOKUP(A29,S0!$C$2:$I$89,4)</f>
        <v>El proceso de pago a proveedores abarca los diferentes mecanismos y condiciones que el modulo FI ofrece para contabilzar los pagos sobre los registros previamente generados en el proceso de cuentas por pagar.</v>
      </c>
      <c r="G29" s="64" t="str">
        <f>+VLOOKUP(A29,S0!$C$2:$I$89,5)</f>
        <v>1) Generar Solicitudes de Anticipos para la Caja Chica, Entregas a Rendir y Anticipos a Terceros
2) Pagos Individuales o Masivos a Proveedores. Aplicando pagos parciales o totales.
3) Registrar documentos que estan sujetos a Retenciones sea en el documento o en el Pago ( Localización )
4) Registrar las anulaciones de las compensaciones por los documentos de pago.</v>
      </c>
      <c r="H29" s="64">
        <f>+VLOOKUP(A29,S0!$C$2:$I$89,6)</f>
        <v>0</v>
      </c>
      <c r="I29" s="46" t="s">
        <v>92</v>
      </c>
      <c r="J29" s="46" t="s">
        <v>87</v>
      </c>
      <c r="K29" s="99"/>
      <c r="L29" s="77">
        <f>+(VLOOKUP($A29,S0!$C$2:$Y$89,18)/8 * VLOOKUP($I29,Atributos!$A$28:$B$31,2) * VLOOKUP($J29,Atributos!$A$22:$B$25,2))/5</f>
        <v>3.7499999999999999E-2</v>
      </c>
      <c r="M29" s="37">
        <f>+(VLOOKUP($A29,S0!$C$2:$Y$89,19)/8 * VLOOKUP($I29,Atributos!$A$28:$B52,2) * VLOOKUP($J29,Atributos!$A$22:$B46,2))/5</f>
        <v>0.2</v>
      </c>
      <c r="N29" s="43">
        <f>+VLOOKUP($A29,S0!$C$2:$Y$89,20)/8 * VLOOKUP($I29,Atributos!$A$28:$B$31,2) * VLOOKUP($J29,Atributos!$A$22:$B$25,2)/5</f>
        <v>0.6</v>
      </c>
      <c r="O29" s="43">
        <f>+VLOOKUP($A29,S0!$C$2:$Y$89,21)/8 * VLOOKUP($I29,Atributos!$A$28:$B$31,2) * VLOOKUP($J29,Atributos!$A$22:$B$25,2)/5</f>
        <v>1.2</v>
      </c>
      <c r="P29" s="43">
        <f>+VLOOKUP($A29,S0!$C$2:$Y$89,22)/8 * VLOOKUP($I29,Atributos!$A$28:$B$31,2) * VLOOKUP($J29,Atributos!$A$22:$B$25,2)/5</f>
        <v>0.3</v>
      </c>
      <c r="Q29" s="43">
        <f>+VLOOKUP($A29,S0!$C$2:$Y$89,23)/8 * VLOOKUP($I29,Atributos!$A$28:$B$31,2) * VLOOKUP($J29,Atributos!$A$22:$B$25,2)/5</f>
        <v>0.3</v>
      </c>
      <c r="R29" s="43">
        <f t="shared" si="5"/>
        <v>2.2999999999999998</v>
      </c>
      <c r="S29" s="43">
        <f>+(VLOOKUP($A29,S0!$C$2:$Y$89,19)/8 * VLOOKUP($I29,Atributos!$A$28:$B$31,2) * VLOOKUP($J29,Atributos!$G$22:$H$25,2))/5</f>
        <v>0.05</v>
      </c>
      <c r="T29" s="43">
        <f>+VLOOKUP($A29,S0!$C$2:$Y$89,20)/8 * VLOOKUP($I29,Atributos!$A$28:$B$31,2) * VLOOKUP($J29,Atributos!$G$22:$H$25,2)/5</f>
        <v>0.4</v>
      </c>
      <c r="U29" s="43">
        <f>+VLOOKUP($A29,S0!$C$2:$Y$89,21)/8 * VLOOKUP($I29,Atributos!$A$28:$B$31,2) * VLOOKUP($J29,Atributos!$G$22:$H$25,2)/5</f>
        <v>0.8</v>
      </c>
      <c r="V29" s="43">
        <f>+VLOOKUP($A29,S0!$C$2:$Y$89,22)/8 * VLOOKUP($I29,Atributos!$A$28:$B$31,2) * VLOOKUP($J29,Atributos!$G$22:$H$25,2)/5</f>
        <v>0.2</v>
      </c>
      <c r="W29" s="43">
        <f>+VLOOKUP($A29,S0!$C$2:$Y$89,23)/8 * VLOOKUP($I29,Atributos!$A$28:$B$31,2) * VLOOKUP($J29,Atributos!$G$22:$H$25,2)/5</f>
        <v>0.2</v>
      </c>
      <c r="X29" s="43">
        <f t="shared" si="8"/>
        <v>1.45</v>
      </c>
      <c r="Y29" s="87">
        <f t="shared" si="0"/>
        <v>0.125</v>
      </c>
      <c r="Z29" s="87">
        <f t="shared" si="1"/>
        <v>0.5</v>
      </c>
      <c r="AA29" s="87">
        <f t="shared" si="2"/>
        <v>1</v>
      </c>
      <c r="AB29" s="87">
        <f t="shared" si="3"/>
        <v>0.25</v>
      </c>
      <c r="AC29" s="87">
        <f t="shared" si="4"/>
        <v>0.25</v>
      </c>
      <c r="AD29" s="87">
        <f t="shared" si="6"/>
        <v>1.875</v>
      </c>
    </row>
    <row r="30" spans="1:30" ht="409.5" x14ac:dyDescent="0.25">
      <c r="A30" s="36" t="s">
        <v>273</v>
      </c>
      <c r="B30" s="63" t="str">
        <f>+VLOOKUP(A30,S0!$C$2:$I$89,7)</f>
        <v>FI</v>
      </c>
      <c r="C30" s="111" t="s">
        <v>274</v>
      </c>
      <c r="D30" s="62" t="s">
        <v>697</v>
      </c>
      <c r="E30" s="64" t="str">
        <f>+VLOOKUP(A30,S0!$C$2:$I$89,3)</f>
        <v>Maestro de Interlocutor Comercial (Deudores o Clientes)
Registro de Facturas y otros Comprobantes de Clientes
- Registro de Comprobantes por Finanzas (FI)
- Registro de Comprobantes Con Pedido Venta(SD)
Indicadores de impuestos Ventas
Percepciones Venta
Registro de Comprobantes de Importación de bienes
Registro de IGV no domiciliado
Solicitudes de Anticipo Acreedor
Retenciones en la factura
- Detracciones de IGV
- Retenciones no Domiciliados
- Retenciones dietas
Retenciones en el pago
- Retenciones de IGV
- Retenciones de 4ta categoría
Anulación de Registro
Registros preliminares
Cuenta de mayor especial (CME)
Compensaciones
- Con anticipos
- Con N/D y N/C
- Canje de letras
- Factura Negociable
o	Factoring
o	Compensación Deudor/Acreedor
o	Anulación de compensación
Reportes</v>
      </c>
      <c r="F30" s="64" t="str">
        <f>+VLOOKUP(A30,S0!$C$2:$I$89,4)</f>
        <v xml:space="preserve">El proceso de cuentas por cobrar comprende básicamente la contabilidad en deudores producto de las operaciones de venta de bienes o servicios que generen una obligación de cobro.
Los clientes cuentan con un código único en el maestro de Business Partner bajo el cual se registran sus operaciones y permiten el análisis auxiliar por cuenta deudora. </v>
      </c>
      <c r="G30" s="64" t="str">
        <f>+VLOOKUP(A30,S0!$C$2:$I$89,5)</f>
        <v>1) Registrar Comprobantes de Ventas por FI ( Facturas , Notas de Crédito y Débito ) con sus indicadores de IVA
2) Registrar Provisiones de Ingresos por FI
3) Registrar documentos por Provisión de Cobranza Dudosa
4) Registrar préstamos entre Empresas Vinculadas o Terceros
5) Registro de Otras de Cuentas por Cobrar Diversas 
6) Registrar Retenciones en la cuentas por Cobrar en el momento de la contabilización de la factura ( Localización ). Manejando Percepción de Venta y Detracción de Venta.
7) Anulación del documento de venta generado 
9) Compensación de Partidas Deudoras, Anticipos, Notas de Crédito y Débito.
10) Compensación de Deudores con Acreedores
11) Anulación o descompnesación de documentos de cobro.</v>
      </c>
      <c r="H30" s="64" t="str">
        <f>+VLOOKUP(A30,S0!$C$2:$I$89,6)</f>
        <v>Los indicadores de impuestos están asociado al IGV. No está considerado otro tipo de impuesto como ISC, impuestos especiales de sectores industriales, FISE, Rodamiento, impuestos a los plásticos, etc</v>
      </c>
      <c r="I30" s="46" t="s">
        <v>92</v>
      </c>
      <c r="J30" s="46" t="s">
        <v>87</v>
      </c>
      <c r="K30" s="99"/>
      <c r="L30" s="77">
        <f>+(VLOOKUP($A30,S0!$C$2:$Y$89,18)/8 * VLOOKUP($I30,Atributos!$A$28:$B$31,2) * VLOOKUP($J30,Atributos!$A$22:$B$25,2))/5</f>
        <v>3.7499999999999999E-2</v>
      </c>
      <c r="M30" s="37">
        <f>+(VLOOKUP($A30,S0!$C$2:$Y$89,19)/8 * VLOOKUP($I30,Atributos!$A$28:$B53,2) * VLOOKUP($J30,Atributos!$A$22:$B47,2))/5</f>
        <v>0.2</v>
      </c>
      <c r="N30" s="43">
        <f>+VLOOKUP($A30,S0!$C$2:$Y$89,20)/8 * VLOOKUP($I30,Atributos!$A$28:$B$31,2) * VLOOKUP($J30,Atributos!$A$22:$B$25,2)/5</f>
        <v>0.6</v>
      </c>
      <c r="O30" s="43">
        <f>+VLOOKUP($A30,S0!$C$2:$Y$89,21)/8 * VLOOKUP($I30,Atributos!$A$28:$B$31,2) * VLOOKUP($J30,Atributos!$A$22:$B$25,2)/5</f>
        <v>1.2</v>
      </c>
      <c r="P30" s="43">
        <f>+VLOOKUP($A30,S0!$C$2:$Y$89,22)/8 * VLOOKUP($I30,Atributos!$A$28:$B$31,2) * VLOOKUP($J30,Atributos!$A$22:$B$25,2)/5</f>
        <v>0.3</v>
      </c>
      <c r="Q30" s="43">
        <f>+VLOOKUP($A30,S0!$C$2:$Y$89,23)/8 * VLOOKUP($I30,Atributos!$A$28:$B$31,2) * VLOOKUP($J30,Atributos!$A$22:$B$25,2)/5</f>
        <v>0.3</v>
      </c>
      <c r="R30" s="43">
        <f t="shared" si="5"/>
        <v>2.2999999999999998</v>
      </c>
      <c r="S30" s="43">
        <f>+(VLOOKUP($A30,S0!$C$2:$Y$89,19)/8 * VLOOKUP($I30,Atributos!$A$28:$B$31,2) * VLOOKUP($J30,Atributos!$G$22:$H$25,2))/5</f>
        <v>0.05</v>
      </c>
      <c r="T30" s="43">
        <f>+VLOOKUP($A30,S0!$C$2:$Y$89,20)/8 * VLOOKUP($I30,Atributos!$A$28:$B$31,2) * VLOOKUP($J30,Atributos!$G$22:$H$25,2)/5</f>
        <v>0.4</v>
      </c>
      <c r="U30" s="43">
        <f>+VLOOKUP($A30,S0!$C$2:$Y$89,21)/8 * VLOOKUP($I30,Atributos!$A$28:$B$31,2) * VLOOKUP($J30,Atributos!$G$22:$H$25,2)/5</f>
        <v>0.8</v>
      </c>
      <c r="V30" s="43">
        <f>+VLOOKUP($A30,S0!$C$2:$Y$89,22)/8 * VLOOKUP($I30,Atributos!$A$28:$B$31,2) * VLOOKUP($J30,Atributos!$G$22:$H$25,2)/5</f>
        <v>0.2</v>
      </c>
      <c r="W30" s="43">
        <f>+VLOOKUP($A30,S0!$C$2:$Y$89,23)/8 * VLOOKUP($I30,Atributos!$A$28:$B$31,2) * VLOOKUP($J30,Atributos!$G$22:$H$25,2)/5</f>
        <v>0.2</v>
      </c>
      <c r="X30" s="43">
        <f t="shared" si="8"/>
        <v>1.45</v>
      </c>
      <c r="Y30" s="87">
        <f t="shared" si="0"/>
        <v>0.125</v>
      </c>
      <c r="Z30" s="87">
        <f t="shared" si="1"/>
        <v>0.5</v>
      </c>
      <c r="AA30" s="87">
        <f t="shared" si="2"/>
        <v>1</v>
      </c>
      <c r="AB30" s="87">
        <f t="shared" si="3"/>
        <v>0.25</v>
      </c>
      <c r="AC30" s="87">
        <f t="shared" si="4"/>
        <v>0.25</v>
      </c>
      <c r="AD30" s="87">
        <f t="shared" si="6"/>
        <v>1.875</v>
      </c>
    </row>
    <row r="31" spans="1:30" ht="105" x14ac:dyDescent="0.25">
      <c r="A31" s="36" t="s">
        <v>279</v>
      </c>
      <c r="B31" s="63" t="str">
        <f>+VLOOKUP(A31,S0!$C$2:$I$89,7)</f>
        <v>FI</v>
      </c>
      <c r="C31" s="62" t="s">
        <v>675</v>
      </c>
      <c r="D31" s="62" t="s">
        <v>698</v>
      </c>
      <c r="E31" s="64" t="str">
        <f>+VLOOKUP(A31,S0!$C$2:$I$89,3)</f>
        <v>Operaciones de Tesorería
- Transferencia entre Cuentas
- Compra/Venta de Divisas
Reportes</v>
      </c>
      <c r="F31" s="64" t="str">
        <f>+VLOOKUP(A31,S0!$C$2:$I$89,4)</f>
        <v>La Gestión de Tesorería, abarca el registro de las operaciones propias a la administración de los fondos de la empresa.</v>
      </c>
      <c r="G31" s="64" t="str">
        <f>+VLOOKUP(A31,S0!$C$2:$I$89,5)</f>
        <v xml:space="preserve">
1) Gestionar Transferencia Bancarias 
2) Registrar Compra / Venta de Divisas 
3) Cobranzas</v>
      </c>
      <c r="H31" s="64">
        <f>+VLOOKUP(A31,S0!$C$2:$I$89,6)</f>
        <v>0</v>
      </c>
      <c r="I31" s="46" t="s">
        <v>92</v>
      </c>
      <c r="J31" s="46" t="s">
        <v>87</v>
      </c>
      <c r="K31" s="99"/>
      <c r="L31" s="77">
        <f>+(VLOOKUP($A31,S0!$C$2:$Y$89,18)/8 * VLOOKUP($I31,Atributos!$A$28:$B$31,2) * VLOOKUP($J31,Atributos!$A$22:$B$25,2))/5</f>
        <v>3.7499999999999999E-2</v>
      </c>
      <c r="M31" s="37">
        <f>+(VLOOKUP($A31,S0!$C$2:$Y$89,19)/8 * VLOOKUP($I31,Atributos!$A$28:$B54,2) * VLOOKUP($J31,Atributos!$A$22:$B48,2))/5</f>
        <v>0.1</v>
      </c>
      <c r="N31" s="43">
        <f>+VLOOKUP($A31,S0!$C$2:$Y$89,20)/8 * VLOOKUP($I31,Atributos!$A$28:$B$31,2) * VLOOKUP($J31,Atributos!$A$22:$B$25,2)/5</f>
        <v>0.6</v>
      </c>
      <c r="O31" s="43">
        <f>+VLOOKUP($A31,S0!$C$2:$Y$89,21)/8 * VLOOKUP($I31,Atributos!$A$28:$B$31,2) * VLOOKUP($J31,Atributos!$A$22:$B$25,2)/5</f>
        <v>1.2</v>
      </c>
      <c r="P31" s="43">
        <f>+VLOOKUP($A31,S0!$C$2:$Y$89,22)/8 * VLOOKUP($I31,Atributos!$A$28:$B$31,2) * VLOOKUP($J31,Atributos!$A$22:$B$25,2)/5</f>
        <v>0.3</v>
      </c>
      <c r="Q31" s="43">
        <f>+VLOOKUP($A31,S0!$C$2:$Y$89,23)/8 * VLOOKUP($I31,Atributos!$A$28:$B$31,2) * VLOOKUP($J31,Atributos!$A$22:$B$25,2)/5</f>
        <v>0.3</v>
      </c>
      <c r="R31" s="43">
        <f t="shared" si="5"/>
        <v>2.1999999999999997</v>
      </c>
      <c r="S31" s="43">
        <f>+(VLOOKUP($A31,S0!$C$2:$Y$89,19)/8 * VLOOKUP($I31,Atributos!$A$28:$B$31,2) * VLOOKUP($J31,Atributos!$G$22:$H$25,2))/5</f>
        <v>0.05</v>
      </c>
      <c r="T31" s="43">
        <f>+VLOOKUP($A31,S0!$C$2:$Y$89,20)/8 * VLOOKUP($I31,Atributos!$A$28:$B$31,2) * VLOOKUP($J31,Atributos!$G$22:$H$25,2)/5</f>
        <v>0.4</v>
      </c>
      <c r="U31" s="43">
        <f>+VLOOKUP($A31,S0!$C$2:$Y$89,21)/8 * VLOOKUP($I31,Atributos!$A$28:$B$31,2) * VLOOKUP($J31,Atributos!$G$22:$H$25,2)/5</f>
        <v>0.8</v>
      </c>
      <c r="V31" s="43">
        <f>+VLOOKUP($A31,S0!$C$2:$Y$89,22)/8 * VLOOKUP($I31,Atributos!$A$28:$B$31,2) * VLOOKUP($J31,Atributos!$G$22:$H$25,2)/5</f>
        <v>0.2</v>
      </c>
      <c r="W31" s="43">
        <f>+VLOOKUP($A31,S0!$C$2:$Y$89,23)/8 * VLOOKUP($I31,Atributos!$A$28:$B$31,2) * VLOOKUP($J31,Atributos!$G$22:$H$25,2)/5</f>
        <v>0.2</v>
      </c>
      <c r="X31" s="43">
        <f t="shared" si="8"/>
        <v>1.45</v>
      </c>
      <c r="Y31" s="87">
        <f t="shared" si="0"/>
        <v>7.5000000000000011E-2</v>
      </c>
      <c r="Z31" s="87">
        <f t="shared" si="1"/>
        <v>0.5</v>
      </c>
      <c r="AA31" s="87">
        <f t="shared" si="2"/>
        <v>1</v>
      </c>
      <c r="AB31" s="87">
        <f t="shared" si="3"/>
        <v>0.25</v>
      </c>
      <c r="AC31" s="87">
        <f t="shared" si="4"/>
        <v>0.25</v>
      </c>
      <c r="AD31" s="87">
        <f t="shared" si="6"/>
        <v>1.825</v>
      </c>
    </row>
    <row r="32" spans="1:30" ht="285" x14ac:dyDescent="0.25">
      <c r="A32" s="36" t="s">
        <v>284</v>
      </c>
      <c r="B32" s="63" t="str">
        <f>+VLOOKUP(A32,S0!$C$2:$I$89,7)</f>
        <v>FI</v>
      </c>
      <c r="C32" s="111" t="s">
        <v>285</v>
      </c>
      <c r="D32" s="62" t="s">
        <v>694</v>
      </c>
      <c r="E32" s="64" t="str">
        <f>+VLOOKUP(A32,S0!$C$2:$I$89,3)</f>
        <v>Alta de Activos Fijos
- Por Compra directa
- Por Adquisición bajo arrendamiento financiero. 
- Por liquidación de obra en curso 
Traslados
Baja de Activos Fijos
- Por venta
- Por desguace
Activos mantenidos para la venta
Revaluación y Desvalorización
Depreciación
Operaciones de Cierre Anual
Reportes</v>
      </c>
      <c r="F32" s="64" t="str">
        <f>+VLOOKUP(A32,S0!$C$2:$I$89,4)</f>
        <v>Este proceso comprende las diferentes operaciones contables que se registran sobre los activos fijos. Así mismo, abarca la reportería para el análisis contable de los activos fijos.</v>
      </c>
      <c r="G32" s="64" t="str">
        <f>+VLOOKUP(A32,S0!$C$2:$I$89,5)</f>
        <v xml:space="preserve">1) Alta de Activos por Compras o Liquidaciones de Activos en Curso.
2) Alta de Activos por Arrendamiento Financiero desde FI.
3) Traspasos de Activos 
4) Bajas de Activos:  Baja por Desguace / Baja por Venta 
5) Revaluaciones de Activos Fijos
6) Ejecución de las Depreciaciones
7) Cambio de Ejercicio y Cierre de Ejercicio de Activos Fijos </v>
      </c>
      <c r="H32" s="64">
        <f>+VLOOKUP(A32,S0!$C$2:$I$89,6)</f>
        <v>0</v>
      </c>
      <c r="I32" s="46" t="s">
        <v>93</v>
      </c>
      <c r="J32" s="46" t="s">
        <v>88</v>
      </c>
      <c r="K32" s="99" t="s">
        <v>623</v>
      </c>
      <c r="L32" s="77">
        <f>+(VLOOKUP($A32,S0!$C$2:$Y$89,18)/8 * VLOOKUP($I32,Atributos!$A$28:$B$31,2) * VLOOKUP($J32,Atributos!$A$22:$B$25,2))/5</f>
        <v>8.4375000000000006E-2</v>
      </c>
      <c r="M32" s="37">
        <f>+(VLOOKUP($A32,S0!$C$2:$Y$89,19)/8 * VLOOKUP($I32,Atributos!$A$28:$B55,2) * VLOOKUP($J32,Atributos!$A$22:$B49,2))/5</f>
        <v>0.45</v>
      </c>
      <c r="N32" s="43">
        <f>+VLOOKUP($A32,S0!$C$2:$Y$89,20)/8 * VLOOKUP($I32,Atributos!$A$28:$B$31,2) * VLOOKUP($J32,Atributos!$A$22:$B$25,2)/5</f>
        <v>1.35</v>
      </c>
      <c r="O32" s="43">
        <f>+VLOOKUP($A32,S0!$C$2:$Y$89,21)/8 * VLOOKUP($I32,Atributos!$A$28:$B$31,2) * VLOOKUP($J32,Atributos!$A$22:$B$25,2)/5</f>
        <v>2.7</v>
      </c>
      <c r="P32" s="43">
        <f>+VLOOKUP($A32,S0!$C$2:$Y$89,22)/8 * VLOOKUP($I32,Atributos!$A$28:$B$31,2) * VLOOKUP($J32,Atributos!$A$22:$B$25,2)/5</f>
        <v>0.67500000000000004</v>
      </c>
      <c r="Q32" s="43">
        <f>+VLOOKUP($A32,S0!$C$2:$Y$89,23)/8 * VLOOKUP($I32,Atributos!$A$28:$B$31,2) * VLOOKUP($J32,Atributos!$A$22:$B$25,2)/5</f>
        <v>0.67500000000000004</v>
      </c>
      <c r="R32" s="43">
        <f t="shared" si="5"/>
        <v>5.1749999999999998</v>
      </c>
      <c r="S32" s="43">
        <f>+(VLOOKUP($A32,S0!$C$2:$Y$89,19)/8 * VLOOKUP($I32,Atributos!$A$28:$B$31,2) * VLOOKUP($J32,Atributos!$G$22:$H$25,2))/5</f>
        <v>0.1125</v>
      </c>
      <c r="T32" s="43">
        <f>+VLOOKUP($A32,S0!$C$2:$Y$89,20)/8 * VLOOKUP($I32,Atributos!$A$28:$B$31,2) * VLOOKUP($J32,Atributos!$G$22:$H$25,2)/5</f>
        <v>0.9</v>
      </c>
      <c r="U32" s="43">
        <f>+VLOOKUP($A32,S0!$C$2:$Y$89,21)/8 * VLOOKUP($I32,Atributos!$A$28:$B$31,2) * VLOOKUP($J32,Atributos!$G$22:$H$25,2)/5</f>
        <v>1.8</v>
      </c>
      <c r="V32" s="43">
        <f>+VLOOKUP($A32,S0!$C$2:$Y$89,22)/8 * VLOOKUP($I32,Atributos!$A$28:$B$31,2) * VLOOKUP($J32,Atributos!$G$22:$H$25,2)/5</f>
        <v>0.45</v>
      </c>
      <c r="W32" s="43">
        <f>+VLOOKUP($A32,S0!$C$2:$Y$89,23)/8 * VLOOKUP($I32,Atributos!$A$28:$B$31,2) * VLOOKUP($J32,Atributos!$G$22:$H$25,2)/5</f>
        <v>0.45</v>
      </c>
      <c r="X32" s="43">
        <f t="shared" si="8"/>
        <v>3.2625000000000002</v>
      </c>
      <c r="Y32" s="87">
        <f t="shared" si="0"/>
        <v>0.28125</v>
      </c>
      <c r="Z32" s="87">
        <f t="shared" si="1"/>
        <v>1.125</v>
      </c>
      <c r="AA32" s="87">
        <f t="shared" si="2"/>
        <v>2.25</v>
      </c>
      <c r="AB32" s="87">
        <f t="shared" si="3"/>
        <v>0.5625</v>
      </c>
      <c r="AC32" s="87">
        <f t="shared" si="4"/>
        <v>0.5625</v>
      </c>
      <c r="AD32" s="87">
        <f t="shared" si="6"/>
        <v>4.21875</v>
      </c>
    </row>
    <row r="33" spans="1:30" ht="409.5" x14ac:dyDescent="0.25">
      <c r="A33" s="36" t="s">
        <v>289</v>
      </c>
      <c r="B33" s="63" t="str">
        <f>+VLOOKUP(A33,S0!$C$2:$I$89,7)</f>
        <v>FI</v>
      </c>
      <c r="C33" s="111" t="s">
        <v>673</v>
      </c>
      <c r="D33" s="62" t="s">
        <v>681</v>
      </c>
      <c r="E33" s="64" t="str">
        <f>+VLOOKUP(A33,S0!$C$2:$I$89,3)</f>
        <v>Proceso de Cierre de Mes
- Registro de documentos
- Apertura y Cierre de Períodos contables
- Desplazamiento de periodo logístico
- Anulación de documentos FI
- Análisis y Compensación de cuentas
- Conciliación bancaria
- Valoración de Moneda Extranjera 
- Traslación 
- Liquidación de AFeC
- Depreciación/Amortización de activos fijos o intangibles
Proceso de Cierre de Año
- Arrastre de Saldos Anual
- Cierre de ejercicio de Activos Fijos
Estados Financieros y libros oficiales
Reportes</v>
      </c>
      <c r="F33" s="64" t="str">
        <f>+VLOOKUP(A33,S0!$C$2:$I$89,4)</f>
        <v>Este proceso se encuentra constituido por las actividades que permiten cerrar las operaciones necesarias del día, mes y del ejercicio. Para ello, el sistema ofrece un conjunto de programas que permiten ejecutar los procesos de cierre y hacer análisis a través reportes de resultados y de cuentas balance.</v>
      </c>
      <c r="G33" s="64" t="str">
        <f>+VLOOKUP(A33,S0!$C$2:$I$89,5)</f>
        <v>1) Apertura y Cierre periodos contables( Variante de Ejercicio FI)
2)  Desplazamiento de Periodo Logistico. 
3) Compensaciones Manuales o Automaticas de Cuentas de Mayor
4) Conciliación Banacaria  ( Localización )
5) Valoración de Moneda Extranjera  ( Ejemplo: USD a PEN )
6) Traslasión Moneda Local   ( Ejemplo PEN a USD )
7) Liquidación de Activos FIjo en Curso
8) Ejecución de la Depreciaión del mes correspondiente.
9) Arrastre de Saldos que incluye la apertura del nuevo ejercicio para Activos Fijos.
10) Cierre de Ejercicio de Activos Fijos
11) Reporteria Balance General o Report Painters
12) Libros Electrónicos SUNAT ( Localización Z)</v>
      </c>
      <c r="H33" s="64">
        <f>+VLOOKUP(A33,S0!$C$2:$I$89,6)</f>
        <v>0</v>
      </c>
      <c r="I33" s="46" t="s">
        <v>92</v>
      </c>
      <c r="J33" s="46" t="s">
        <v>87</v>
      </c>
      <c r="K33" s="99"/>
      <c r="L33" s="77">
        <f>+(VLOOKUP($A33,S0!$C$2:$Y$89,18)/8 * VLOOKUP($I33,Atributos!$A$28:$B$31,2) * VLOOKUP($J33,Atributos!$A$22:$B$25,2))/5</f>
        <v>3.7499999999999999E-2</v>
      </c>
      <c r="M33" s="37">
        <f>+(VLOOKUP($A33,S0!$C$2:$Y$89,19)/8 * VLOOKUP($I33,Atributos!$A$28:$B56,2) * VLOOKUP($J33,Atributos!$A$22:$B50,2))/5</f>
        <v>0.2</v>
      </c>
      <c r="N33" s="43">
        <f>+VLOOKUP($A33,S0!$C$2:$Y$89,20)/8 * VLOOKUP($I33,Atributos!$A$28:$B$31,2) * VLOOKUP($J33,Atributos!$A$22:$B$25,2)/5</f>
        <v>0.6</v>
      </c>
      <c r="O33" s="43">
        <f>+VLOOKUP($A33,S0!$C$2:$Y$89,21)/8 * VLOOKUP($I33,Atributos!$A$28:$B$31,2) * VLOOKUP($J33,Atributos!$A$22:$B$25,2)/5</f>
        <v>1.2</v>
      </c>
      <c r="P33" s="43">
        <f>+VLOOKUP($A33,S0!$C$2:$Y$89,22)/8 * VLOOKUP($I33,Atributos!$A$28:$B$31,2) * VLOOKUP($J33,Atributos!$A$22:$B$25,2)/5</f>
        <v>0.3</v>
      </c>
      <c r="Q33" s="43">
        <f>+VLOOKUP($A33,S0!$C$2:$Y$89,23)/8 * VLOOKUP($I33,Atributos!$A$28:$B$31,2) * VLOOKUP($J33,Atributos!$A$22:$B$25,2)/5</f>
        <v>0.3</v>
      </c>
      <c r="R33" s="43">
        <f t="shared" si="5"/>
        <v>2.2999999999999998</v>
      </c>
      <c r="S33" s="43">
        <f>+(VLOOKUP($A33,S0!$C$2:$Y$89,19)/8 * VLOOKUP($I33,Atributos!$A$28:$B$31,2) * VLOOKUP($J33,Atributos!$G$22:$H$25,2))/5</f>
        <v>0.05</v>
      </c>
      <c r="T33" s="43">
        <f>+VLOOKUP($A33,S0!$C$2:$Y$89,20)/8 * VLOOKUP($I33,Atributos!$A$28:$B$31,2) * VLOOKUP($J33,Atributos!$G$22:$H$25,2)/5</f>
        <v>0.4</v>
      </c>
      <c r="U33" s="43">
        <f>+VLOOKUP($A33,S0!$C$2:$Y$89,21)/8 * VLOOKUP($I33,Atributos!$A$28:$B$31,2) * VLOOKUP($J33,Atributos!$G$22:$H$25,2)/5</f>
        <v>0.8</v>
      </c>
      <c r="V33" s="43">
        <f>+VLOOKUP($A33,S0!$C$2:$Y$89,22)/8 * VLOOKUP($I33,Atributos!$A$28:$B$31,2) * VLOOKUP($J33,Atributos!$G$22:$H$25,2)/5</f>
        <v>0.2</v>
      </c>
      <c r="W33" s="43">
        <f>+VLOOKUP($A33,S0!$C$2:$Y$89,23)/8 * VLOOKUP($I33,Atributos!$A$28:$B$31,2) * VLOOKUP($J33,Atributos!$G$22:$H$25,2)/5</f>
        <v>0.2</v>
      </c>
      <c r="X33" s="43">
        <f t="shared" si="8"/>
        <v>1.45</v>
      </c>
      <c r="Y33" s="87">
        <f t="shared" si="0"/>
        <v>0.125</v>
      </c>
      <c r="Z33" s="87">
        <f t="shared" si="1"/>
        <v>0.5</v>
      </c>
      <c r="AA33" s="87">
        <f t="shared" si="2"/>
        <v>1</v>
      </c>
      <c r="AB33" s="87">
        <f t="shared" si="3"/>
        <v>0.25</v>
      </c>
      <c r="AC33" s="87">
        <f t="shared" si="4"/>
        <v>0.25</v>
      </c>
      <c r="AD33" s="87">
        <f t="shared" si="6"/>
        <v>1.875</v>
      </c>
    </row>
    <row r="34" spans="1:30" ht="150" x14ac:dyDescent="0.25">
      <c r="A34" s="79" t="s">
        <v>294</v>
      </c>
      <c r="B34" s="80" t="str">
        <f>+VLOOKUP(A34,S0!$C$2:$I$89,7)</f>
        <v>SD</v>
      </c>
      <c r="C34" s="115" t="s">
        <v>295</v>
      </c>
      <c r="D34" s="62" t="s">
        <v>699</v>
      </c>
      <c r="E34" s="64" t="str">
        <f>+VLOOKUP(A34,S0!$C$2:$I$89,3)</f>
        <v>Área de control de crédito
Segmento de crédito 
Asignación de la línea de crédito 
Consumo de la línea de crédito
Reportes</v>
      </c>
      <c r="F34" s="64" t="str">
        <f>+VLOOKUP(A34,S0!$C$2:$I$89,4)</f>
        <v>Corresponden a los datos que contienen información relevante para la gestión de créditos,  funcionalidades para su seguimiento y control.
Si la empresa trabaja con líneas de crédito para los clientes, se determina en que procesos de venta aplica este proceso. Al realizar el pedido de venta se verifica si hay deuda vencida y si el pedido sobrepasa la línea de crédito asignada.</v>
      </c>
      <c r="G34" s="64" t="str">
        <f>+VLOOKUP(A34,S0!$C$2:$I$89,5)</f>
        <v xml:space="preserve">Venta Nacional con límite de crédito excedido.
Venta Exportación con partidas abiertas vencidas.
Venta Servicios con suficiente línea de crédito.
</v>
      </c>
      <c r="H34" s="64">
        <f>+VLOOKUP(A34,S0!$C$2:$I$89,6)</f>
        <v>0</v>
      </c>
      <c r="I34" s="46" t="s">
        <v>95</v>
      </c>
      <c r="J34" s="46" t="s">
        <v>87</v>
      </c>
      <c r="K34" s="99"/>
      <c r="L34" s="77">
        <f>+(VLOOKUP($A34,S0!$C$2:$Y$89,18)/8 * VLOOKUP($I34,Atributos!$A$28:$B$31,2) * VLOOKUP($J34,Atributos!$A$22:$B$25,2))/5</f>
        <v>0</v>
      </c>
      <c r="M34" s="37">
        <f>+(VLOOKUP($A34,S0!$C$2:$Y$89,19)/8 * VLOOKUP($I34,Atributos!$A$28:$B57,2) * VLOOKUP($J34,Atributos!$A$22:$B51,2))/5</f>
        <v>0</v>
      </c>
      <c r="N34" s="43">
        <f>+VLOOKUP($A34,S0!$C$2:$Y$89,20)/8 * VLOOKUP($I34,Atributos!$A$28:$B$31,2) * VLOOKUP($J34,Atributos!$A$22:$B$25,2)/5</f>
        <v>0</v>
      </c>
      <c r="O34" s="43">
        <f>+VLOOKUP($A34,S0!$C$2:$Y$89,21)/8 * VLOOKUP($I34,Atributos!$A$28:$B$31,2) * VLOOKUP($J34,Atributos!$A$22:$B$25,2)/5</f>
        <v>0</v>
      </c>
      <c r="P34" s="43">
        <f>+VLOOKUP($A34,S0!$C$2:$Y$89,22)/8 * VLOOKUP($I34,Atributos!$A$28:$B$31,2) * VLOOKUP($J34,Atributos!$A$22:$B$25,2)/5</f>
        <v>0</v>
      </c>
      <c r="Q34" s="43">
        <f>+VLOOKUP($A34,S0!$C$2:$Y$89,23)/8 * VLOOKUP($I34,Atributos!$A$28:$B$31,2) * VLOOKUP($J34,Atributos!$A$22:$B$25,2)/5</f>
        <v>0</v>
      </c>
      <c r="R34" s="43">
        <f t="shared" si="5"/>
        <v>0</v>
      </c>
      <c r="S34" s="43">
        <f>+(VLOOKUP($A34,S0!$C$2:$Y$89,19)/8 * VLOOKUP($I34,Atributos!$A$28:$B$31,2) * VLOOKUP($J34,Atributos!$G$22:$H$25,2))/5</f>
        <v>0</v>
      </c>
      <c r="T34" s="43">
        <f>+VLOOKUP($A34,S0!$C$2:$Y$89,20)/8 * VLOOKUP($I34,Atributos!$A$28:$B$31,2) * VLOOKUP($J34,Atributos!$G$22:$H$25,2)/5</f>
        <v>0</v>
      </c>
      <c r="U34" s="43">
        <f>+VLOOKUP($A34,S0!$C$2:$Y$89,21)/8 * VLOOKUP($I34,Atributos!$A$28:$B$31,2) * VLOOKUP($J34,Atributos!$G$22:$H$25,2)/5</f>
        <v>0</v>
      </c>
      <c r="V34" s="43">
        <f>+VLOOKUP($A34,S0!$C$2:$Y$89,22)/8 * VLOOKUP($I34,Atributos!$A$28:$B$31,2) * VLOOKUP($J34,Atributos!$G$22:$H$25,2)/5</f>
        <v>0</v>
      </c>
      <c r="W34" s="43">
        <f>+VLOOKUP($A34,S0!$C$2:$Y$89,23)/8 * VLOOKUP($I34,Atributos!$A$28:$B$31,2) * VLOOKUP($J34,Atributos!$G$22:$H$25,2)/5</f>
        <v>0</v>
      </c>
      <c r="X34" s="43">
        <f t="shared" si="8"/>
        <v>0</v>
      </c>
      <c r="Y34" s="87">
        <f t="shared" si="0"/>
        <v>0</v>
      </c>
      <c r="Z34" s="87">
        <f t="shared" si="1"/>
        <v>0</v>
      </c>
      <c r="AA34" s="87">
        <f t="shared" si="2"/>
        <v>0</v>
      </c>
      <c r="AB34" s="87">
        <f t="shared" si="3"/>
        <v>0</v>
      </c>
      <c r="AC34" s="87">
        <f t="shared" si="4"/>
        <v>0</v>
      </c>
      <c r="AD34" s="87">
        <f t="shared" si="6"/>
        <v>0</v>
      </c>
    </row>
    <row r="35" spans="1:30" ht="105" x14ac:dyDescent="0.25">
      <c r="A35" s="40" t="s">
        <v>301</v>
      </c>
      <c r="B35" s="63" t="str">
        <f>+VLOOKUP(A35,S0!$C$2:$I$89,7)</f>
        <v>MM</v>
      </c>
      <c r="C35" s="114" t="s">
        <v>711</v>
      </c>
      <c r="D35" s="62" t="s">
        <v>709</v>
      </c>
      <c r="E35" s="64" t="str">
        <f>+VLOOKUP(A35,S0!$C$2:$I$89,3)</f>
        <v>Sociedad
Organización de Compra
Grupo de Compra
Centros
Almacén</v>
      </c>
      <c r="F35" s="64" t="str">
        <f>+VLOOKUP(A35,S0!$C$2:$I$89,4)</f>
        <v>En la estructura SAP S/4HANA se representa la vista jurídica u organizativa de una empresa como los niveles de la organización. La determinación de dichos niveles constituye la Estructura Organizativa y corresponde, a un requisito escencial tanto para la determinación de los datos maestros como para los procesos a definir en la empresa.</v>
      </c>
      <c r="G35" s="64">
        <f>+VLOOKUP(A35,S0!$C$2:$I$89,5)</f>
        <v>0</v>
      </c>
      <c r="H35" s="64">
        <f>+VLOOKUP(A35,S0!$C$2:$I$89,6)</f>
        <v>0</v>
      </c>
      <c r="I35" s="46" t="s">
        <v>92</v>
      </c>
      <c r="J35" s="46" t="s">
        <v>88</v>
      </c>
      <c r="K35" s="99" t="s">
        <v>624</v>
      </c>
      <c r="L35" s="77">
        <f>+(VLOOKUP($A35,S0!$C$2:$Y$89,18)/8 * VLOOKUP($I35,Atributos!$A$28:$B$31,2) * VLOOKUP($J35,Atributos!$A$22:$B$25,2))/5</f>
        <v>5.6250000000000001E-2</v>
      </c>
      <c r="M35" s="37">
        <f>+(VLOOKUP($A35,S0!$C$2:$Y$89,19)/8 * VLOOKUP($I35,Atributos!$A$28:$B58,2) * VLOOKUP($J35,Atributos!$A$22:$B52,2))/5</f>
        <v>7.4999999999999997E-2</v>
      </c>
      <c r="N35" s="43">
        <f>+VLOOKUP($A35,S0!$C$2:$Y$89,20)/8 * VLOOKUP($I35,Atributos!$A$28:$B$31,2) * VLOOKUP($J35,Atributos!$A$22:$B$25,2)/5</f>
        <v>0.22500000000000001</v>
      </c>
      <c r="O35" s="43">
        <f>+VLOOKUP($A35,S0!$C$2:$Y$89,21)/8 * VLOOKUP($I35,Atributos!$A$28:$B$31,2) * VLOOKUP($J35,Atributos!$A$22:$B$25,2)/5</f>
        <v>0.22500000000000001</v>
      </c>
      <c r="P35" s="43">
        <f>+VLOOKUP($A35,S0!$C$2:$Y$89,22)/8 * VLOOKUP($I35,Atributos!$A$28:$B$31,2) * VLOOKUP($J35,Atributos!$A$22:$B$25,2)/5</f>
        <v>0</v>
      </c>
      <c r="Q35" s="43">
        <f>+VLOOKUP($A35,S0!$C$2:$Y$89,23)/8 * VLOOKUP($I35,Atributos!$A$28:$B$31,2) * VLOOKUP($J35,Atributos!$A$22:$B$25,2)/5</f>
        <v>0</v>
      </c>
      <c r="R35" s="43">
        <f t="shared" si="5"/>
        <v>0.52500000000000002</v>
      </c>
      <c r="S35" s="43">
        <f>+(VLOOKUP($A35,S0!$C$2:$Y$89,19)/8 * VLOOKUP($I35,Atributos!$A$28:$B$31,2) * VLOOKUP($J35,Atributos!$G$22:$H$25,2))/5</f>
        <v>3.7499999999999999E-2</v>
      </c>
      <c r="T35" s="43">
        <f>+VLOOKUP($A35,S0!$C$2:$Y$89,20)/8 * VLOOKUP($I35,Atributos!$A$28:$B$31,2) * VLOOKUP($J35,Atributos!$G$22:$H$25,2)/5</f>
        <v>0.15</v>
      </c>
      <c r="U35" s="43">
        <f>+VLOOKUP($A35,S0!$C$2:$Y$89,21)/8 * VLOOKUP($I35,Atributos!$A$28:$B$31,2) * VLOOKUP($J35,Atributos!$G$22:$H$25,2)/5</f>
        <v>0.15</v>
      </c>
      <c r="V35" s="43">
        <f>+VLOOKUP($A35,S0!$C$2:$Y$89,22)/8 * VLOOKUP($I35,Atributos!$A$28:$B$31,2) * VLOOKUP($J35,Atributos!$G$22:$H$25,2)/5</f>
        <v>0</v>
      </c>
      <c r="W35" s="43">
        <f>+VLOOKUP($A35,S0!$C$2:$Y$89,23)/8 * VLOOKUP($I35,Atributos!$A$28:$B$31,2) * VLOOKUP($J35,Atributos!$G$22:$H$25,2)/5</f>
        <v>0</v>
      </c>
      <c r="X35" s="43">
        <f t="shared" si="8"/>
        <v>0.33750000000000002</v>
      </c>
      <c r="Y35" s="87">
        <f t="shared" si="0"/>
        <v>5.6249999999999994E-2</v>
      </c>
      <c r="Z35" s="87">
        <f t="shared" si="1"/>
        <v>0.1875</v>
      </c>
      <c r="AA35" s="87">
        <f t="shared" si="2"/>
        <v>0.1875</v>
      </c>
      <c r="AB35" s="87">
        <f t="shared" si="3"/>
        <v>0</v>
      </c>
      <c r="AC35" s="87">
        <f t="shared" si="4"/>
        <v>0</v>
      </c>
      <c r="AD35" s="87">
        <f t="shared" si="6"/>
        <v>0.43125000000000002</v>
      </c>
    </row>
    <row r="36" spans="1:30" ht="180" x14ac:dyDescent="0.25">
      <c r="A36" s="40" t="s">
        <v>304</v>
      </c>
      <c r="B36" s="63" t="str">
        <f>+VLOOKUP(A36,S0!$C$2:$I$89,7)</f>
        <v>MM</v>
      </c>
      <c r="C36" s="62" t="s">
        <v>712</v>
      </c>
      <c r="D36" s="62" t="s">
        <v>713</v>
      </c>
      <c r="E36" s="64" t="str">
        <f>+VLOOKUP(A36,S0!$C$2:$I$89,3)</f>
        <v>Niveles de organización
Agrupación de Materiales
Gestión de Valoración
Vistas de Información
- Datos básicos
- Datos de compras
- Datos de ventas
- Datos de planificación
- Datos de centro/almacén
- Datos contables
Reportes</v>
      </c>
      <c r="F36" s="64" t="str">
        <f>+VLOOKUP(A36,S0!$C$2:$I$89,4)</f>
        <v>En SAP S/4HANA el maestro de materiales es el más importante repositorio de información base para todos los procesos logísticos y de gestión de stocks. Aquí se administran todos los datos de los materiales gestionados por la organización. El maestro de materiales está estructurado en “vistas” o pestañas de datos. Cada vista contiene campos específicos relacionados a un área funcional o proceso de negocio. Si a un material no se le ha completado correctamente las vistas vinculadas a un proceso, este material no podrá ser utilizado en dichos procesos. </v>
      </c>
      <c r="G36" s="64" t="str">
        <f>+VLOOKUP(A36,S0!$C$2:$I$89,5)</f>
        <v xml:space="preserve">Tipo de Material: 
-Mercadería 
-Materia Prima 
-Material no valorado 
-Suministros 
-Embalajes 
-Producto semielaborado 
-Producto Terminado 
-Material Servicios 
</v>
      </c>
      <c r="H36" s="64" t="str">
        <f>+VLOOKUP(A36,S0!$C$2:$I$89,6)</f>
        <v>Se excluye campos no mencionados en el BPD.</v>
      </c>
      <c r="I36" s="46" t="s">
        <v>92</v>
      </c>
      <c r="J36" s="46" t="s">
        <v>87</v>
      </c>
      <c r="K36" s="99"/>
      <c r="L36" s="77">
        <f>+(VLOOKUP($A36,S0!$C$2:$Y$89,18)/8 * VLOOKUP($I36,Atributos!$A$28:$B$31,2) * VLOOKUP($J36,Atributos!$A$22:$B$25,2))/5</f>
        <v>3.7499999999999999E-2</v>
      </c>
      <c r="M36" s="37">
        <f>+(VLOOKUP($A36,S0!$C$2:$Y$89,19)/8 * VLOOKUP($I36,Atributos!$A$28:$B59,2) * VLOOKUP($J36,Atributos!$A$22:$B53,2))/5</f>
        <v>3.7499999999999999E-2</v>
      </c>
      <c r="N36" s="43">
        <f>+VLOOKUP($A36,S0!$C$2:$Y$89,20)/8 * VLOOKUP($I36,Atributos!$A$28:$B$31,2) * VLOOKUP($J36,Atributos!$A$22:$B$25,2)/5</f>
        <v>0.3</v>
      </c>
      <c r="O36" s="43">
        <f>+VLOOKUP($A36,S0!$C$2:$Y$89,21)/8 * VLOOKUP($I36,Atributos!$A$28:$B$31,2) * VLOOKUP($J36,Atributos!$A$22:$B$25,2)/5</f>
        <v>0.3</v>
      </c>
      <c r="P36" s="43">
        <f>+VLOOKUP($A36,S0!$C$2:$Y$89,22)/8 * VLOOKUP($I36,Atributos!$A$28:$B$31,2) * VLOOKUP($J36,Atributos!$A$22:$B$25,2)/5</f>
        <v>0.3</v>
      </c>
      <c r="Q36" s="43">
        <f>+VLOOKUP($A36,S0!$C$2:$Y$89,23)/8 * VLOOKUP($I36,Atributos!$A$28:$B$31,2) * VLOOKUP($J36,Atributos!$A$22:$B$25,2)/5</f>
        <v>0</v>
      </c>
      <c r="R36" s="43">
        <f t="shared" si="5"/>
        <v>0.9375</v>
      </c>
      <c r="S36" s="43">
        <f>+(VLOOKUP($A36,S0!$C$2:$Y$89,19)/8 * VLOOKUP($I36,Atributos!$A$28:$B$31,2) * VLOOKUP($J36,Atributos!$G$22:$H$25,2))/5</f>
        <v>2.5000000000000001E-2</v>
      </c>
      <c r="T36" s="43">
        <f>+VLOOKUP($A36,S0!$C$2:$Y$89,20)/8 * VLOOKUP($I36,Atributos!$A$28:$B$31,2) * VLOOKUP($J36,Atributos!$G$22:$H$25,2)/5</f>
        <v>0.2</v>
      </c>
      <c r="U36" s="43">
        <f>+VLOOKUP($A36,S0!$C$2:$Y$89,21)/8 * VLOOKUP($I36,Atributos!$A$28:$B$31,2) * VLOOKUP($J36,Atributos!$G$22:$H$25,2)/5</f>
        <v>0.2</v>
      </c>
      <c r="V36" s="43">
        <f>+VLOOKUP($A36,S0!$C$2:$Y$89,22)/8 * VLOOKUP($I36,Atributos!$A$28:$B$31,2) * VLOOKUP($J36,Atributos!$G$22:$H$25,2)/5</f>
        <v>0.2</v>
      </c>
      <c r="W36" s="43">
        <f>+VLOOKUP($A36,S0!$C$2:$Y$89,23)/8 * VLOOKUP($I36,Atributos!$A$28:$B$31,2) * VLOOKUP($J36,Atributos!$G$22:$H$25,2)/5</f>
        <v>0</v>
      </c>
      <c r="X36" s="43">
        <f t="shared" si="8"/>
        <v>0.625</v>
      </c>
      <c r="Y36" s="87">
        <f t="shared" si="0"/>
        <v>3.125E-2</v>
      </c>
      <c r="Z36" s="87">
        <f t="shared" si="1"/>
        <v>0.25</v>
      </c>
      <c r="AA36" s="87">
        <f t="shared" si="2"/>
        <v>0.25</v>
      </c>
      <c r="AB36" s="87">
        <f t="shared" si="3"/>
        <v>0.25</v>
      </c>
      <c r="AC36" s="87">
        <f t="shared" si="4"/>
        <v>0</v>
      </c>
      <c r="AD36" s="87">
        <f t="shared" si="6"/>
        <v>0.78125</v>
      </c>
    </row>
    <row r="37" spans="1:30" ht="360" x14ac:dyDescent="0.25">
      <c r="A37" s="40" t="s">
        <v>312</v>
      </c>
      <c r="B37" s="63" t="str">
        <f>+VLOOKUP(A37,S0!$C$2:$I$89,7)</f>
        <v>MM</v>
      </c>
      <c r="C37" s="62" t="s">
        <v>712</v>
      </c>
      <c r="D37" s="62" t="s">
        <v>713</v>
      </c>
      <c r="E37" s="64" t="str">
        <f>+VLOOKUP(A37,S0!$C$2:$I$89,3)</f>
        <v>Creación de condiciones.
Creación de registros info</v>
      </c>
      <c r="F37" s="64" t="str">
        <f>+VLOOKUP(A37,S0!$C$2:$I$89,4)</f>
        <v>Las condiciones son los acuerdos que se tienen con los proveedores sobre precios, recargos, descuentos, etc. Las cuales pueden ser empleados por los documentos logísticos.
Los registros info relacionan la información de los materiales con los proveedores como acuerdos comerciales.</v>
      </c>
      <c r="G37" s="64" t="str">
        <f>+VLOOKUP(A37,S0!$C$2:$I$89,5)</f>
        <v>Precios: manual o de registro info
Descuentos: fijos y porcentual
Recargos: fijo y porcentual. 
Impuestos : IGV
Costos Indirectos : Transporte e instalación.
Importaciones: comisiones agente de aduana fijo y %, flete, seguro,%advalorem,almacenaje, transporte, estiba, cuadrilla, gasto portuario, vistos buenos, servicios logísticos, gastos administrativos, Instalación.
Se utiliza para compras nacionales e importadas.</v>
      </c>
      <c r="H37" s="64" t="str">
        <f>+VLOOKUP(A37,S0!$C$2:$I$89,6)</f>
        <v>Se excluye variaciones o lógicas especiales para los esquemas de cálculos o condiciones definidos en el BPD.</v>
      </c>
      <c r="I37" s="46" t="s">
        <v>92</v>
      </c>
      <c r="J37" s="46" t="s">
        <v>87</v>
      </c>
      <c r="K37" s="99"/>
      <c r="L37" s="77">
        <f>+(VLOOKUP($A37,S0!$C$2:$Y$89,18)/8 * VLOOKUP($I37,Atributos!$A$28:$B$31,2) * VLOOKUP($J37,Atributos!$A$22:$B$25,2))/5</f>
        <v>3.7499999999999999E-2</v>
      </c>
      <c r="M37" s="37">
        <f>+(VLOOKUP($A37,S0!$C$2:$Y$89,19)/8 * VLOOKUP($I37,Atributos!$A$28:$B60,2) * VLOOKUP($J37,Atributos!$A$22:$B54,2))/5</f>
        <v>0.05</v>
      </c>
      <c r="N37" s="43">
        <f>+VLOOKUP($A37,S0!$C$2:$Y$89,20)/8 * VLOOKUP($I37,Atributos!$A$28:$B$31,2) * VLOOKUP($J37,Atributos!$A$22:$B$25,2)/5</f>
        <v>0.3</v>
      </c>
      <c r="O37" s="43">
        <f>+VLOOKUP($A37,S0!$C$2:$Y$89,21)/8 * VLOOKUP($I37,Atributos!$A$28:$B$31,2) * VLOOKUP($J37,Atributos!$A$22:$B$25,2)/5</f>
        <v>0.3</v>
      </c>
      <c r="P37" s="43">
        <f>+VLOOKUP($A37,S0!$C$2:$Y$89,22)/8 * VLOOKUP($I37,Atributos!$A$28:$B$31,2) * VLOOKUP($J37,Atributos!$A$22:$B$25,2)/5</f>
        <v>0.3</v>
      </c>
      <c r="Q37" s="43">
        <f>+VLOOKUP($A37,S0!$C$2:$Y$89,23)/8 * VLOOKUP($I37,Atributos!$A$28:$B$31,2) * VLOOKUP($J37,Atributos!$A$22:$B$25,2)/5</f>
        <v>0</v>
      </c>
      <c r="R37" s="43">
        <f t="shared" si="5"/>
        <v>0.95</v>
      </c>
      <c r="S37" s="43">
        <f>+(VLOOKUP($A37,S0!$C$2:$Y$89,19)/8 * VLOOKUP($I37,Atributos!$A$28:$B$31,2) * VLOOKUP($J37,Atributos!$G$22:$H$25,2))/5</f>
        <v>2.5000000000000001E-2</v>
      </c>
      <c r="T37" s="43">
        <f>+VLOOKUP($A37,S0!$C$2:$Y$89,20)/8 * VLOOKUP($I37,Atributos!$A$28:$B$31,2) * VLOOKUP($J37,Atributos!$G$22:$H$25,2)/5</f>
        <v>0.2</v>
      </c>
      <c r="U37" s="43">
        <f>+VLOOKUP($A37,S0!$C$2:$Y$89,21)/8 * VLOOKUP($I37,Atributos!$A$28:$B$31,2) * VLOOKUP($J37,Atributos!$G$22:$H$25,2)/5</f>
        <v>0.2</v>
      </c>
      <c r="V37" s="43">
        <f>+VLOOKUP($A37,S0!$C$2:$Y$89,22)/8 * VLOOKUP($I37,Atributos!$A$28:$B$31,2) * VLOOKUP($J37,Atributos!$G$22:$H$25,2)/5</f>
        <v>0.2</v>
      </c>
      <c r="W37" s="43">
        <f>+VLOOKUP($A37,S0!$C$2:$Y$89,23)/8 * VLOOKUP($I37,Atributos!$A$28:$B$31,2) * VLOOKUP($J37,Atributos!$G$22:$H$25,2)/5</f>
        <v>0</v>
      </c>
      <c r="X37" s="43">
        <f t="shared" si="8"/>
        <v>0.625</v>
      </c>
      <c r="Y37" s="87">
        <f t="shared" si="0"/>
        <v>3.7500000000000006E-2</v>
      </c>
      <c r="Z37" s="87">
        <f t="shared" si="1"/>
        <v>0.25</v>
      </c>
      <c r="AA37" s="87">
        <f t="shared" si="2"/>
        <v>0.25</v>
      </c>
      <c r="AB37" s="87">
        <f t="shared" si="3"/>
        <v>0.25</v>
      </c>
      <c r="AC37" s="87">
        <f t="shared" si="4"/>
        <v>0</v>
      </c>
      <c r="AD37" s="87">
        <f t="shared" si="6"/>
        <v>0.78749999999999998</v>
      </c>
    </row>
    <row r="38" spans="1:30" ht="409.5" x14ac:dyDescent="0.25">
      <c r="A38" s="40" t="s">
        <v>320</v>
      </c>
      <c r="B38" s="63" t="str">
        <f>+VLOOKUP(A38,S0!$C$2:$I$89,7)</f>
        <v>MM</v>
      </c>
      <c r="C38" s="111" t="s">
        <v>321</v>
      </c>
      <c r="D38" s="62" t="s">
        <v>700</v>
      </c>
      <c r="E38" s="64" t="str">
        <f>+VLOOKUP(A38,S0!$C$2:$I$89,3)</f>
        <v>Generación de Solicitud de Pedido
Liberación de Solicitud de Pedido
Generación de Pedido de Compra
Liberación de Pedido de Compra
Envío de formato de pedido de compra al proveedor. 
Entrada de Mercadería
Registro de Facturas
Reportes</v>
      </c>
      <c r="F38" s="64" t="str">
        <f>+VLOOKUP(A38,S0!$C$2:$I$89,4)</f>
        <v>Este proceso en SAP permite brindar soporte al Proceso de Abastecimiento de Proveedores Locales o extranjeros para la adquisición de existencias de una empresa.  Cabe mencionar que, para los procesos definidos en SAP, las existencias son aquellas que: 
- Emplean un código de material, que contará con gestión de cantidad y valor.
- El ingreso de dicho material es contabilizado en ctas. de existencias.</v>
      </c>
      <c r="G38" s="64" t="str">
        <f>+VLOOKUP(A38,S0!$C$2:$I$89,5)</f>
        <v>-Compras asociadas a contratos por valor afectos a IGV
-Compras asociadas a contratos por importe inafectos a IGV.
-Compras sin estrategias de liberación con retenciones.
-Compras con estrategia de liberación con detracciones.
-Compras con descuentos, recargos, costos indirectos,afectos y no afectos al IGV.
-Compras con posiciones gratuitas
-Entregas parciales.
-Facturación parcial.
-Anulación de entrega.
-Anulación de factura.
-Compras locales e importaciones.</v>
      </c>
      <c r="H38" s="64" t="str">
        <f>+VLOOKUP(A38,S0!$C$2:$I$89,6)</f>
        <v>No se usa planes de entrega.
No se utiliza entregas entrantes ni confirmaciones de OC.</v>
      </c>
      <c r="I38" s="46" t="s">
        <v>95</v>
      </c>
      <c r="J38" s="46" t="s">
        <v>87</v>
      </c>
      <c r="K38" s="99"/>
      <c r="L38" s="77">
        <f>+(VLOOKUP($A38,S0!$C$2:$Y$89,18)/8 * VLOOKUP($I38,Atributos!$A$28:$B$31,2) * VLOOKUP($J38,Atributos!$A$22:$B$25,2))/5</f>
        <v>0</v>
      </c>
      <c r="M38" s="37">
        <f>+(VLOOKUP($A38,S0!$C$2:$Y$89,19)/8 * VLOOKUP($I38,Atributos!$A$28:$B61,2) * VLOOKUP($J38,Atributos!$A$22:$B55,2))/5</f>
        <v>0.5</v>
      </c>
      <c r="N38" s="43">
        <f>+VLOOKUP($A38,S0!$C$2:$Y$89,20)/8 * VLOOKUP($I38,Atributos!$A$28:$B$31,2) * VLOOKUP($J38,Atributos!$A$22:$B$25,2)/5</f>
        <v>0</v>
      </c>
      <c r="O38" s="43">
        <f>+VLOOKUP($A38,S0!$C$2:$Y$89,21)/8 * VLOOKUP($I38,Atributos!$A$28:$B$31,2) * VLOOKUP($J38,Atributos!$A$22:$B$25,2)/5</f>
        <v>0</v>
      </c>
      <c r="P38" s="43">
        <f>+VLOOKUP($A38,S0!$C$2:$Y$89,22)/8 * VLOOKUP($I38,Atributos!$A$28:$B$31,2) * VLOOKUP($J38,Atributos!$A$22:$B$25,2)/5</f>
        <v>0</v>
      </c>
      <c r="Q38" s="43">
        <f>+VLOOKUP($A38,S0!$C$2:$Y$89,23)/8 * VLOOKUP($I38,Atributos!$A$28:$B$31,2) * VLOOKUP($J38,Atributos!$A$22:$B$25,2)/5</f>
        <v>0</v>
      </c>
      <c r="R38" s="43">
        <f t="shared" si="5"/>
        <v>0.5</v>
      </c>
      <c r="S38" s="43">
        <f>+(VLOOKUP($A38,S0!$C$2:$Y$89,19)/8 * VLOOKUP($I38,Atributos!$A$28:$B$31,2) * VLOOKUP($J38,Atributos!$G$22:$H$25,2))/5</f>
        <v>0</v>
      </c>
      <c r="T38" s="43">
        <f>+VLOOKUP($A38,S0!$C$2:$Y$89,20)/8 * VLOOKUP($I38,Atributos!$A$28:$B$31,2) * VLOOKUP($J38,Atributos!$G$22:$H$25,2)/5</f>
        <v>0</v>
      </c>
      <c r="U38" s="43">
        <f>+VLOOKUP($A38,S0!$C$2:$Y$89,21)/8 * VLOOKUP($I38,Atributos!$A$28:$B$31,2) * VLOOKUP($J38,Atributos!$G$22:$H$25,2)/5</f>
        <v>0</v>
      </c>
      <c r="V38" s="43">
        <f>+VLOOKUP($A38,S0!$C$2:$Y$89,22)/8 * VLOOKUP($I38,Atributos!$A$28:$B$31,2) * VLOOKUP($J38,Atributos!$G$22:$H$25,2)/5</f>
        <v>0</v>
      </c>
      <c r="W38" s="43">
        <f>+VLOOKUP($A38,S0!$C$2:$Y$89,23)/8 * VLOOKUP($I38,Atributos!$A$28:$B$31,2) * VLOOKUP($J38,Atributos!$G$22:$H$25,2)/5</f>
        <v>0</v>
      </c>
      <c r="X38" s="43">
        <f t="shared" si="8"/>
        <v>0</v>
      </c>
      <c r="Y38" s="87">
        <f t="shared" si="0"/>
        <v>0.25</v>
      </c>
      <c r="Z38" s="87">
        <f t="shared" si="1"/>
        <v>0</v>
      </c>
      <c r="AA38" s="87">
        <f t="shared" si="2"/>
        <v>0</v>
      </c>
      <c r="AB38" s="87">
        <f t="shared" si="3"/>
        <v>0</v>
      </c>
      <c r="AC38" s="87">
        <f t="shared" si="4"/>
        <v>0</v>
      </c>
      <c r="AD38" s="87">
        <f t="shared" si="6"/>
        <v>0.25</v>
      </c>
    </row>
    <row r="39" spans="1:30" ht="409.5" x14ac:dyDescent="0.25">
      <c r="A39" s="40" t="s">
        <v>330</v>
      </c>
      <c r="B39" s="63" t="str">
        <f>+VLOOKUP(A39,S0!$C$2:$I$89,7)</f>
        <v>MM</v>
      </c>
      <c r="C39" s="111" t="s">
        <v>331</v>
      </c>
      <c r="D39" s="62" t="s">
        <v>701</v>
      </c>
      <c r="E39" s="64" t="str">
        <f>+VLOOKUP(A39,S0!$C$2:$I$89,3)</f>
        <v>Generación de Solicitud de Pedido
Liberación de Solicitud de Pedido
Generación de Pedido de Abierto
Liberación de Pedido Abierto
Generación de Pedido de Compra
Liberación de Pedido de Compra
Envío de formato de pedido de compra al proveedor. 
Entrada de Mercadería
Registro de Facturas
Reportes</v>
      </c>
      <c r="F39" s="64" t="str">
        <f>+VLOOKUP(A39,S0!$C$2:$I$89,4)</f>
        <v>Este proceso de compras utiliza solicitudes de pedido o directamente órdenes de compra. Se realiza el flujo de compras con aprobaciones de órdenes de compra, hoja de entrada de servicio y registro de la factura. A diferencia de las compras de stock, este proceso requiere de una imputación en las solicitudes de pedidos u órdenes de compra ya que los importes son registrados directamente en el gasto ya que no se requiere tenerlos en cuentas de inventario.</v>
      </c>
      <c r="G39" s="64" t="str">
        <f>+VLOOKUP(A39,S0!$C$2:$I$89,5)</f>
        <v>-Compras asociadas a contratos por valor afectos a IGV
-Compras asociadas a contratos por importe inafectos a IGV.
-Compras sin estrategias de liberación con retenciones.
-Compras con estrategia de liberación con detracciones.
-Compras con descuentos, recargos, costos indirectos,afectos y no afectos al IGV.
-Compras con posiciones gratuitas
-Entregas parciales.
-Facturación parcial.
-Anulación de entrega.
-Anulación de factura.
-Compras locales e importaciones.</v>
      </c>
      <c r="H39" s="64" t="str">
        <f>+VLOOKUP(A39,S0!$C$2:$I$89,6)</f>
        <v>No se usa planes de entrega.
No se utiliza entregas entrantes ni confirmaciones de OC.</v>
      </c>
      <c r="I39" s="46" t="s">
        <v>92</v>
      </c>
      <c r="J39" s="46" t="s">
        <v>87</v>
      </c>
      <c r="K39" s="99"/>
      <c r="L39" s="77">
        <f>+(VLOOKUP($A39,S0!$C$2:$Y$89,18)/8 * VLOOKUP($I39,Atributos!$A$28:$B$31,2) * VLOOKUP($J39,Atributos!$A$22:$B$25,2))/5</f>
        <v>3.7499999999999999E-2</v>
      </c>
      <c r="M39" s="37">
        <f>+(VLOOKUP($A39,S0!$C$2:$Y$89,19)/8 * VLOOKUP($I39,Atributos!$A$28:$B62,2) * VLOOKUP($J39,Atributos!$A$22:$B56,2))/5</f>
        <v>0.1</v>
      </c>
      <c r="N39" s="43">
        <f>+VLOOKUP($A39,S0!$C$2:$Y$89,20)/8 * VLOOKUP($I39,Atributos!$A$28:$B$31,2) * VLOOKUP($J39,Atributos!$A$22:$B$25,2)/5</f>
        <v>0.6</v>
      </c>
      <c r="O39" s="43">
        <f>+VLOOKUP($A39,S0!$C$2:$Y$89,21)/8 * VLOOKUP($I39,Atributos!$A$28:$B$31,2) * VLOOKUP($J39,Atributos!$A$22:$B$25,2)/5</f>
        <v>1.2</v>
      </c>
      <c r="P39" s="43">
        <f>+VLOOKUP($A39,S0!$C$2:$Y$89,22)/8 * VLOOKUP($I39,Atributos!$A$28:$B$31,2) * VLOOKUP($J39,Atributos!$A$22:$B$25,2)/5</f>
        <v>0.3</v>
      </c>
      <c r="Q39" s="43">
        <f>+VLOOKUP($A39,S0!$C$2:$Y$89,23)/8 * VLOOKUP($I39,Atributos!$A$28:$B$31,2) * VLOOKUP($J39,Atributos!$A$22:$B$25,2)/5</f>
        <v>0.3</v>
      </c>
      <c r="R39" s="43">
        <f t="shared" si="5"/>
        <v>2.1999999999999997</v>
      </c>
      <c r="S39" s="43">
        <f>+(VLOOKUP($A39,S0!$C$2:$Y$89,19)/8 * VLOOKUP($I39,Atributos!$A$28:$B$31,2) * VLOOKUP($J39,Atributos!$G$22:$H$25,2))/5</f>
        <v>0.05</v>
      </c>
      <c r="T39" s="43">
        <f>+VLOOKUP($A39,S0!$C$2:$Y$89,20)/8 * VLOOKUP($I39,Atributos!$A$28:$B$31,2) * VLOOKUP($J39,Atributos!$G$22:$H$25,2)/5</f>
        <v>0.4</v>
      </c>
      <c r="U39" s="43">
        <f>+VLOOKUP($A39,S0!$C$2:$Y$89,21)/8 * VLOOKUP($I39,Atributos!$A$28:$B$31,2) * VLOOKUP($J39,Atributos!$G$22:$H$25,2)/5</f>
        <v>0.8</v>
      </c>
      <c r="V39" s="43">
        <f>+VLOOKUP($A39,S0!$C$2:$Y$89,22)/8 * VLOOKUP($I39,Atributos!$A$28:$B$31,2) * VLOOKUP($J39,Atributos!$G$22:$H$25,2)/5</f>
        <v>0.2</v>
      </c>
      <c r="W39" s="43">
        <f>+VLOOKUP($A39,S0!$C$2:$Y$89,23)/8 * VLOOKUP($I39,Atributos!$A$28:$B$31,2) * VLOOKUP($J39,Atributos!$G$22:$H$25,2)/5</f>
        <v>0.2</v>
      </c>
      <c r="X39" s="43">
        <f t="shared" si="8"/>
        <v>1.45</v>
      </c>
      <c r="Y39" s="87">
        <f t="shared" si="0"/>
        <v>7.5000000000000011E-2</v>
      </c>
      <c r="Z39" s="87">
        <f t="shared" si="1"/>
        <v>0.5</v>
      </c>
      <c r="AA39" s="87">
        <f t="shared" si="2"/>
        <v>1</v>
      </c>
      <c r="AB39" s="87">
        <f t="shared" si="3"/>
        <v>0.25</v>
      </c>
      <c r="AC39" s="87">
        <f t="shared" si="4"/>
        <v>0.25</v>
      </c>
      <c r="AD39" s="87">
        <f t="shared" si="6"/>
        <v>1.825</v>
      </c>
    </row>
    <row r="40" spans="1:30" ht="210" x14ac:dyDescent="0.25">
      <c r="A40" s="40" t="s">
        <v>334</v>
      </c>
      <c r="B40" s="63" t="str">
        <f>+VLOOKUP(A40,S0!$C$2:$I$89,7)</f>
        <v>MM</v>
      </c>
      <c r="C40" s="111" t="s">
        <v>676</v>
      </c>
      <c r="D40" s="62" t="s">
        <v>702</v>
      </c>
      <c r="E40" s="64" t="str">
        <f>+VLOOKUP(A40,S0!$C$2:$I$89,3)</f>
        <v>Tipos de Imputación
- Centro de Costo
- Orden CO
Compra de Bienes 
- Generación de Solicitud de Pedido
- Liberación de Solicitud de Pedido
- Generación de Pedido de Compra
- Liberación de Pedido de Compra
- Envío de formato de pedido de compra al proveedor. 
- Entrada de Mercadería
- Registro de Facturas
Reportes</v>
      </c>
      <c r="F40" s="64" t="str">
        <f>+VLOOKUP(A40,S0!$C$2:$I$89,4)</f>
        <v>Este proceso de compras utiliza solicitudes de pedido o directamente órdenes de compra. Se realiza el flujo de compras con aprobaciones de órdenes de compra, ingresos de mercadería al almacén y registro de la factura. A diferencia de las compras de stock, este proceso requiere de una imputación en las solicitudes de pedidos u órdenes de compra ya que los importes son registrados directamente en el gasto ya que no se requiere tenerlos en cuentas de inventario. Este proceso está orientado a compra de materiales que no forman parte del core del negocio pero que son requeridos para la gestión y están dentro del presupuesto anual de la compañía como por ejemplo la compra de útiles de economato, activos fijos, etc. </v>
      </c>
      <c r="G40" s="64" t="str">
        <f>+VLOOKUP(A40,S0!$C$2:$I$89,5)</f>
        <v>-Compras  de material no valorado imputados a varios centro de costos.
-Compras de suministro imputadas a una orden CO.
-Compras imputadas a un activo fijo.
-Compras de servicios imputada a un centro de costos.
-Imputación U.(Desconocida).</v>
      </c>
      <c r="H40" s="64">
        <f>+VLOOKUP(A40,S0!$C$2:$I$89,6)</f>
        <v>0</v>
      </c>
      <c r="I40" s="46" t="s">
        <v>92</v>
      </c>
      <c r="J40" s="46" t="s">
        <v>87</v>
      </c>
      <c r="K40" s="99"/>
      <c r="L40" s="77">
        <f>+(VLOOKUP($A40,S0!$C$2:$Y$89,18)/8 * VLOOKUP($I40,Atributos!$A$28:$B$31,2) * VLOOKUP($J40,Atributos!$A$22:$B$25,2))/5</f>
        <v>3.7499999999999999E-2</v>
      </c>
      <c r="M40" s="37">
        <f>+(VLOOKUP($A40,S0!$C$2:$Y$89,19)/8 * VLOOKUP($I40,Atributos!$A$28:$B63,2) * VLOOKUP($J40,Atributos!$A$22:$B57,2))/5</f>
        <v>0.1</v>
      </c>
      <c r="N40" s="43">
        <f>+VLOOKUP($A40,S0!$C$2:$Y$89,20)/8 * VLOOKUP($I40,Atributos!$A$28:$B$31,2) * VLOOKUP($J40,Atributos!$A$22:$B$25,2)/5</f>
        <v>0.6</v>
      </c>
      <c r="O40" s="43">
        <f>+VLOOKUP($A40,S0!$C$2:$Y$89,21)/8 * VLOOKUP($I40,Atributos!$A$28:$B$31,2) * VLOOKUP($J40,Atributos!$A$22:$B$25,2)/5</f>
        <v>1.2</v>
      </c>
      <c r="P40" s="43">
        <f>+VLOOKUP($A40,S0!$C$2:$Y$89,22)/8 * VLOOKUP($I40,Atributos!$A$28:$B$31,2) * VLOOKUP($J40,Atributos!$A$22:$B$25,2)/5</f>
        <v>0.3</v>
      </c>
      <c r="Q40" s="43">
        <f>+VLOOKUP($A40,S0!$C$2:$Y$89,23)/8 * VLOOKUP($I40,Atributos!$A$28:$B$31,2) * VLOOKUP($J40,Atributos!$A$22:$B$25,2)/5</f>
        <v>0.3</v>
      </c>
      <c r="R40" s="43">
        <f t="shared" ref="R40:R71" si="9">SUM(M40:P40)</f>
        <v>2.1999999999999997</v>
      </c>
      <c r="S40" s="43">
        <f>+(VLOOKUP($A40,S0!$C$2:$Y$89,19)/8 * VLOOKUP($I40,Atributos!$A$28:$B$31,2) * VLOOKUP($J40,Atributos!$G$22:$H$25,2))/5</f>
        <v>0.05</v>
      </c>
      <c r="T40" s="43">
        <f>+VLOOKUP($A40,S0!$C$2:$Y$89,20)/8 * VLOOKUP($I40,Atributos!$A$28:$B$31,2) * VLOOKUP($J40,Atributos!$G$22:$H$25,2)/5</f>
        <v>0.4</v>
      </c>
      <c r="U40" s="43">
        <f>+VLOOKUP($A40,S0!$C$2:$Y$89,21)/8 * VLOOKUP($I40,Atributos!$A$28:$B$31,2) * VLOOKUP($J40,Atributos!$G$22:$H$25,2)/5</f>
        <v>0.8</v>
      </c>
      <c r="V40" s="43">
        <f>+VLOOKUP($A40,S0!$C$2:$Y$89,22)/8 * VLOOKUP($I40,Atributos!$A$28:$B$31,2) * VLOOKUP($J40,Atributos!$G$22:$H$25,2)/5</f>
        <v>0.2</v>
      </c>
      <c r="W40" s="43">
        <f>+VLOOKUP($A40,S0!$C$2:$Y$89,23)/8 * VLOOKUP($I40,Atributos!$A$28:$B$31,2) * VLOOKUP($J40,Atributos!$G$22:$H$25,2)/5</f>
        <v>0.2</v>
      </c>
      <c r="X40" s="43">
        <f t="shared" si="8"/>
        <v>1.45</v>
      </c>
      <c r="Y40" s="87">
        <f t="shared" ref="Y40:Y71" si="10">(S40+M40)/2</f>
        <v>7.5000000000000011E-2</v>
      </c>
      <c r="Z40" s="87">
        <f t="shared" ref="Z40:Z71" si="11">(T40+N40)/2</f>
        <v>0.5</v>
      </c>
      <c r="AA40" s="87">
        <f t="shared" ref="AA40:AA71" si="12">(U40+O40)/2</f>
        <v>1</v>
      </c>
      <c r="AB40" s="87">
        <f t="shared" ref="AB40:AB71" si="13">(V40+P40)/2</f>
        <v>0.25</v>
      </c>
      <c r="AC40" s="87">
        <f t="shared" ref="AC40:AC71" si="14">(W40+Q40)/2</f>
        <v>0.25</v>
      </c>
      <c r="AD40" s="87">
        <f t="shared" si="6"/>
        <v>1.825</v>
      </c>
    </row>
    <row r="41" spans="1:30" ht="270" x14ac:dyDescent="0.25">
      <c r="A41" s="40" t="s">
        <v>341</v>
      </c>
      <c r="B41" s="63" t="str">
        <f>+VLOOKUP(A41,S0!$C$2:$I$89,7)</f>
        <v>MM</v>
      </c>
      <c r="C41" s="111" t="s">
        <v>342</v>
      </c>
      <c r="D41" s="62" t="s">
        <v>703</v>
      </c>
      <c r="E41" s="64" t="str">
        <f>+VLOOKUP(A41,S0!$C$2:$I$89,3)</f>
        <v>Generación de Solicitud de Pedido
Generación de Pedido de Abierto 
Liberación de Pedido Abierto 
Generación de Pedido de Compra
Entrada de mercancía
Registro de Factura del Proveedor Extranjero de la Orden de Compra 
Registro de Facturas de Costos Indirectos
Reportes</v>
      </c>
      <c r="F41" s="64" t="str">
        <f>+VLOOKUP(A41,S0!$C$2:$I$89,4)</f>
        <v>Este proceso de compras se utiliza para tener mayor predictibilidad en el abastecimiento ya que previamente se puede negociar con los proveedores volúmenes importantes de compras a lo largo de un periodo determinado logrando mejores condiciones de cumplimiento por parte del proveedor. El proceso inicia con una solicitud de pedido que contienen el volumen total del requerimiento, en base a este volumen se negocia un contrato con el proveedor. El gerente de compra aprueba la formulación del contrato. Luego todas las solicitudes de compra pueden usar las condiciones comerciales negociadas en los contratos generados hasta agotar el volumen negociado con el proveedor.  Los contratos también se pueden usar para procesos de abastecimiento que involucran importación.</v>
      </c>
      <c r="G41" s="64" t="str">
        <f>+VLOOKUP(A41,S0!$C$2:$I$89,5)</f>
        <v>Compra con pedido abierto asociado a solped con condiciones de importación:
- Comisiones agente de aduana fijo y %.
- Flete.
- Seguro.
- %advalorem.
- Almacenaje, transporte, estiba, cuadrilla, gasto portuario, vistos buenos, servicios logísticos, gastos administrativos, Instalación.</v>
      </c>
      <c r="H41" s="64" t="str">
        <f>+VLOOKUP(A41,S0!$C$2:$I$89,6)</f>
        <v>Sin gestión de stock en operadores logísticos</v>
      </c>
      <c r="I41" s="46" t="s">
        <v>92</v>
      </c>
      <c r="J41" s="46" t="s">
        <v>87</v>
      </c>
      <c r="K41" s="99"/>
      <c r="L41" s="77">
        <f>+(VLOOKUP($A41,S0!$C$2:$Y$89,18)/8 * VLOOKUP($I41,Atributos!$A$28:$B$31,2) * VLOOKUP($J41,Atributos!$A$22:$B$25,2))/5</f>
        <v>3.7499999999999999E-2</v>
      </c>
      <c r="M41" s="37">
        <f>+(VLOOKUP($A41,S0!$C$2:$Y$89,19)/8 * VLOOKUP($I41,Atributos!$A$28:$B64,2) * VLOOKUP($J41,Atributos!$A$22:$B58,2))/5</f>
        <v>7.4999999999999997E-2</v>
      </c>
      <c r="N41" s="43">
        <f>+VLOOKUP($A41,S0!$C$2:$Y$89,20)/8 * VLOOKUP($I41,Atributos!$A$28:$B$31,2) * VLOOKUP($J41,Atributos!$A$22:$B$25,2)/5</f>
        <v>0.6</v>
      </c>
      <c r="O41" s="43">
        <f>+VLOOKUP($A41,S0!$C$2:$Y$89,21)/8 * VLOOKUP($I41,Atributos!$A$28:$B$31,2) * VLOOKUP($J41,Atributos!$A$22:$B$25,2)/5</f>
        <v>1.2</v>
      </c>
      <c r="P41" s="43">
        <f>+VLOOKUP($A41,S0!$C$2:$Y$89,22)/8 * VLOOKUP($I41,Atributos!$A$28:$B$31,2) * VLOOKUP($J41,Atributos!$A$22:$B$25,2)/5</f>
        <v>0.3</v>
      </c>
      <c r="Q41" s="43">
        <f>+VLOOKUP($A41,S0!$C$2:$Y$89,23)/8 * VLOOKUP($I41,Atributos!$A$28:$B$31,2) * VLOOKUP($J41,Atributos!$A$22:$B$25,2)/5</f>
        <v>0.3</v>
      </c>
      <c r="R41" s="43">
        <f t="shared" si="9"/>
        <v>2.1749999999999998</v>
      </c>
      <c r="S41" s="43">
        <f>+(VLOOKUP($A41,S0!$C$2:$Y$89,19)/8 * VLOOKUP($I41,Atributos!$A$28:$B$31,2) * VLOOKUP($J41,Atributos!$G$22:$H$25,2))/5</f>
        <v>0.05</v>
      </c>
      <c r="T41" s="43">
        <f>+VLOOKUP($A41,S0!$C$2:$Y$89,20)/8 * VLOOKUP($I41,Atributos!$A$28:$B$31,2) * VLOOKUP($J41,Atributos!$G$22:$H$25,2)/5</f>
        <v>0.4</v>
      </c>
      <c r="U41" s="43">
        <f>+VLOOKUP($A41,S0!$C$2:$Y$89,21)/8 * VLOOKUP($I41,Atributos!$A$28:$B$31,2) * VLOOKUP($J41,Atributos!$G$22:$H$25,2)/5</f>
        <v>0.8</v>
      </c>
      <c r="V41" s="43">
        <f>+VLOOKUP($A41,S0!$C$2:$Y$89,22)/8 * VLOOKUP($I41,Atributos!$A$28:$B$31,2) * VLOOKUP($J41,Atributos!$G$22:$H$25,2)/5</f>
        <v>0.2</v>
      </c>
      <c r="W41" s="43">
        <f>+VLOOKUP($A41,S0!$C$2:$Y$89,23)/8 * VLOOKUP($I41,Atributos!$A$28:$B$31,2) * VLOOKUP($J41,Atributos!$G$22:$H$25,2)/5</f>
        <v>0.2</v>
      </c>
      <c r="X41" s="43">
        <f t="shared" si="8"/>
        <v>1.45</v>
      </c>
      <c r="Y41" s="87">
        <f t="shared" si="10"/>
        <v>6.25E-2</v>
      </c>
      <c r="Z41" s="87">
        <f t="shared" si="11"/>
        <v>0.5</v>
      </c>
      <c r="AA41" s="87">
        <f t="shared" si="12"/>
        <v>1</v>
      </c>
      <c r="AB41" s="87">
        <f t="shared" si="13"/>
        <v>0.25</v>
      </c>
      <c r="AC41" s="87">
        <f t="shared" si="14"/>
        <v>0.25</v>
      </c>
      <c r="AD41" s="87">
        <f t="shared" si="6"/>
        <v>1.8125</v>
      </c>
    </row>
    <row r="42" spans="1:30" ht="300" x14ac:dyDescent="0.25">
      <c r="A42" s="40" t="s">
        <v>347</v>
      </c>
      <c r="B42" s="63" t="str">
        <f>+VLOOKUP(A42,S0!$C$2:$I$89,7)</f>
        <v>MM</v>
      </c>
      <c r="C42" s="62" t="s">
        <v>677</v>
      </c>
      <c r="D42" s="62" t="s">
        <v>704</v>
      </c>
      <c r="E42" s="64" t="str">
        <f>+VLOOKUP(A42,S0!$C$2:$I$89,3)</f>
        <v>Generación de Solicitud de Pedido de Consignación
Generación o actualización de registro Info por consignación
Generación de Pedido de Compra por consignación
Liberación de Pedido de compra de consignación
Generación de Formulario de Orden de Compra al proveedor
Entrada de Mercadería a consignación
Traspaso de Consignación a libre utilización (stock propio)
Toma de Materiales en Consignación
Liquidación de materiales en consignación tomados
Reportes</v>
      </c>
      <c r="F42" s="64" t="str">
        <f>+VLOOKUP(A42,S0!$C$2:$I$89,4)</f>
        <v>Este proceso conserva las consideraciones del Proceso de Compra Nacional mencionada anteriormente y se le suman las siguientes particularidades: 
1.	El proveedor suministra los materiales (artículos en consignación) y la empresa que realiza la adquisición, los guarda en sus almacenes o bodegas. Sin embargo, el proveedor queda como el propietario legal del material hasta que sean tomado.
2.	Para el pago de la factura, se realizan cortes periódicos coordinados entre el proveedor y la empresa que realiza la adquisición o compra, para identificar cual ha sido el consumo a la fecha y realizar el pago, en función de un precio, previamente acordado antes de realizar el consumo.
3.	SAP permite a través de sus reportes, identificar el material que se encuentra en estado consignado y controlar, una vez pase al stock propio.
Obs. Este modelo, legalmente conlleva a presentar al estado un libro de consignación. Generalmente utilizado en empresas que consumen combustibles a gran escala.</v>
      </c>
      <c r="G42" s="64" t="str">
        <f>+VLOOKUP(A42,S0!$C$2:$I$89,5)</f>
        <v xml:space="preserve"> - Proceso de consignación de proveedor simple: Generación de solicitud de compra, generación de pedido de compra, entrada de mercadería a consignación, toma de materiales y liquidación. </v>
      </c>
      <c r="H42" s="64">
        <f>+VLOOKUP(A42,S0!$C$2:$I$89,6)</f>
        <v>0</v>
      </c>
      <c r="I42" s="46" t="s">
        <v>95</v>
      </c>
      <c r="J42" s="46" t="s">
        <v>87</v>
      </c>
      <c r="K42" s="99"/>
      <c r="L42" s="77">
        <f>+(VLOOKUP($A42,S0!$C$2:$Y$89,18)/8 * VLOOKUP($I42,Atributos!$A$28:$B$31,2) * VLOOKUP($J42,Atributos!$A$22:$B$25,2))/5</f>
        <v>0</v>
      </c>
      <c r="M42" s="37">
        <f>+(VLOOKUP($A42,S0!$C$2:$Y$89,19)/8 * VLOOKUP($I42,Atributos!$A$28:$B65,2) * VLOOKUP($J42,Atributos!$A$22:$B59,2))/5</f>
        <v>0</v>
      </c>
      <c r="N42" s="43">
        <f>+VLOOKUP($A42,S0!$C$2:$Y$89,20)/8 * VLOOKUP($I42,Atributos!$A$28:$B$31,2) * VLOOKUP($J42,Atributos!$A$22:$B$25,2)/5</f>
        <v>0</v>
      </c>
      <c r="O42" s="43">
        <f>+VLOOKUP($A42,S0!$C$2:$Y$89,21)/8 * VLOOKUP($I42,Atributos!$A$28:$B$31,2) * VLOOKUP($J42,Atributos!$A$22:$B$25,2)/5</f>
        <v>0</v>
      </c>
      <c r="P42" s="43">
        <f>+VLOOKUP($A42,S0!$C$2:$Y$89,22)/8 * VLOOKUP($I42,Atributos!$A$28:$B$31,2) * VLOOKUP($J42,Atributos!$A$22:$B$25,2)/5</f>
        <v>0</v>
      </c>
      <c r="Q42" s="43">
        <f>+VLOOKUP($A42,S0!$C$2:$Y$89,23)/8 * VLOOKUP($I42,Atributos!$A$28:$B$31,2) * VLOOKUP($J42,Atributos!$A$22:$B$25,2)/5</f>
        <v>0</v>
      </c>
      <c r="R42" s="43">
        <f t="shared" si="9"/>
        <v>0</v>
      </c>
      <c r="S42" s="43">
        <f>+(VLOOKUP($A42,S0!$C$2:$Y$89,19)/8 * VLOOKUP($I42,Atributos!$A$28:$B$31,2) * VLOOKUP($J42,Atributos!$G$22:$H$25,2))/5</f>
        <v>0</v>
      </c>
      <c r="T42" s="43">
        <f>+VLOOKUP($A42,S0!$C$2:$Y$89,20)/8 * VLOOKUP($I42,Atributos!$A$28:$B$31,2) * VLOOKUP($J42,Atributos!$G$22:$H$25,2)/5</f>
        <v>0</v>
      </c>
      <c r="U42" s="43">
        <f>+VLOOKUP($A42,S0!$C$2:$Y$89,21)/8 * VLOOKUP($I42,Atributos!$A$28:$B$31,2) * VLOOKUP($J42,Atributos!$G$22:$H$25,2)/5</f>
        <v>0</v>
      </c>
      <c r="V42" s="43">
        <f>+VLOOKUP($A42,S0!$C$2:$Y$89,22)/8 * VLOOKUP($I42,Atributos!$A$28:$B$31,2) * VLOOKUP($J42,Atributos!$G$22:$H$25,2)/5</f>
        <v>0</v>
      </c>
      <c r="W42" s="43">
        <f>+VLOOKUP($A42,S0!$C$2:$Y$89,23)/8 * VLOOKUP($I42,Atributos!$A$28:$B$31,2) * VLOOKUP($J42,Atributos!$G$22:$H$25,2)/5</f>
        <v>0</v>
      </c>
      <c r="X42" s="43">
        <f t="shared" si="8"/>
        <v>0</v>
      </c>
      <c r="Y42" s="87">
        <f t="shared" si="10"/>
        <v>0</v>
      </c>
      <c r="Z42" s="87">
        <f t="shared" si="11"/>
        <v>0</v>
      </c>
      <c r="AA42" s="87">
        <f t="shared" si="12"/>
        <v>0</v>
      </c>
      <c r="AB42" s="87">
        <f t="shared" si="13"/>
        <v>0</v>
      </c>
      <c r="AC42" s="87">
        <f t="shared" si="14"/>
        <v>0</v>
      </c>
      <c r="AD42" s="87">
        <f t="shared" si="6"/>
        <v>0</v>
      </c>
    </row>
    <row r="43" spans="1:30" ht="270" x14ac:dyDescent="0.25">
      <c r="A43" s="40" t="s">
        <v>352</v>
      </c>
      <c r="B43" s="63" t="str">
        <f>+VLOOKUP(A43,S0!$C$2:$I$89,7)</f>
        <v>MM</v>
      </c>
      <c r="C43" s="62" t="s">
        <v>678</v>
      </c>
      <c r="D43" s="62" t="s">
        <v>680</v>
      </c>
      <c r="E43" s="64" t="str">
        <f>+VLOOKUP(A43,S0!$C$2:$I$89,3)</f>
        <v>Generación de la Solicitud de Pedido
Liberación de la Solicitud de Pedido
Generación o actualización de registro Info por subcontratación
Generación de Pedido de Subcontratación
Liberación del Pedido de subcontratación
Generación de Formulario de Compra al proveedor
Entrega de componentes a Proveedor por Subcontratación (Emisión de guía de remisión)
Entrada de Mercadería del producto final
Registro de Factura
Reportes</v>
      </c>
      <c r="F43" s="64" t="str">
        <f>+VLOOKUP(A43,S0!$C$2:$I$89,4)</f>
        <v>Este proceso conserva las consideraciones del Proceso de Compra Nacional mencionada anteriormente y se le suman las siguientes particularidades:
1.	Durante el proceso de compra, el proveedor puede recibir todos o una parte de los componentes, con los que fabricará o ensamblará para poder abastecer con un producto final. 
2.	SAP permite optimizar el proceso, armando listas de materiales para que se dé una propuesta automática a los materiales que debemos entregar al proveedor. Si bien el proceso soporta el uso de lista de materiales, debe considerarse el esfuerzo necesario por parte del negocio de crear este dato maestros y darle el mantenimiento adecuado.
3.	SAP cuenta con reportes que permitirán monitorear el material que está siendo entregado al proveedor; así como, controlar el stock del nuevo material una vez se dé el ingreso.</v>
      </c>
      <c r="G43" s="64" t="str">
        <f>+VLOOKUP(A43,S0!$C$2:$I$89,5)</f>
        <v xml:space="preserve"> - Proceso de subcontratación simple: Los materiales entregados al proveedor salen del mismo centro donde el proveedor entrega el producto procesado.</v>
      </c>
      <c r="H43" s="64" t="str">
        <f>+VLOOKUP(A43,S0!$C$2:$I$89,6)</f>
        <v xml:space="preserve">Se excluye </v>
      </c>
      <c r="I43" s="46" t="s">
        <v>95</v>
      </c>
      <c r="J43" s="46" t="s">
        <v>87</v>
      </c>
      <c r="K43" s="99"/>
      <c r="L43" s="77">
        <f>+(VLOOKUP($A43,S0!$C$2:$Y$89,18)/8 * VLOOKUP($I43,Atributos!$A$28:$B$31,2) * VLOOKUP($J43,Atributos!$A$22:$B$25,2))/5</f>
        <v>0</v>
      </c>
      <c r="M43" s="37">
        <f>+(VLOOKUP($A43,S0!$C$2:$Y$89,19)/8 * VLOOKUP($I43,Atributos!$A$28:$B66,2) * VLOOKUP($J43,Atributos!$A$22:$B60,2))/5</f>
        <v>0</v>
      </c>
      <c r="N43" s="43">
        <f>+VLOOKUP($A43,S0!$C$2:$Y$89,20)/8 * VLOOKUP($I43,Atributos!$A$28:$B$31,2) * VLOOKUP($J43,Atributos!$A$22:$B$25,2)/5</f>
        <v>0</v>
      </c>
      <c r="O43" s="43">
        <f>+VLOOKUP($A43,S0!$C$2:$Y$89,21)/8 * VLOOKUP($I43,Atributos!$A$28:$B$31,2) * VLOOKUP($J43,Atributos!$A$22:$B$25,2)/5</f>
        <v>0</v>
      </c>
      <c r="P43" s="43">
        <f>+VLOOKUP($A43,S0!$C$2:$Y$89,22)/8 * VLOOKUP($I43,Atributos!$A$28:$B$31,2) * VLOOKUP($J43,Atributos!$A$22:$B$25,2)/5</f>
        <v>0</v>
      </c>
      <c r="Q43" s="43">
        <f>+VLOOKUP($A43,S0!$C$2:$Y$89,23)/8 * VLOOKUP($I43,Atributos!$A$28:$B$31,2) * VLOOKUP($J43,Atributos!$A$22:$B$25,2)/5</f>
        <v>0</v>
      </c>
      <c r="R43" s="43">
        <f t="shared" si="9"/>
        <v>0</v>
      </c>
      <c r="S43" s="43">
        <f>+(VLOOKUP($A43,S0!$C$2:$Y$89,19)/8 * VLOOKUP($I43,Atributos!$A$28:$B$31,2) * VLOOKUP($J43,Atributos!$G$22:$H$25,2))/5</f>
        <v>0</v>
      </c>
      <c r="T43" s="43">
        <f>+VLOOKUP($A43,S0!$C$2:$Y$89,20)/8 * VLOOKUP($I43,Atributos!$A$28:$B$31,2) * VLOOKUP($J43,Atributos!$G$22:$H$25,2)/5</f>
        <v>0</v>
      </c>
      <c r="U43" s="43">
        <f>+VLOOKUP($A43,S0!$C$2:$Y$89,21)/8 * VLOOKUP($I43,Atributos!$A$28:$B$31,2) * VLOOKUP($J43,Atributos!$G$22:$H$25,2)/5</f>
        <v>0</v>
      </c>
      <c r="V43" s="43">
        <f>+VLOOKUP($A43,S0!$C$2:$Y$89,22)/8 * VLOOKUP($I43,Atributos!$A$28:$B$31,2) * VLOOKUP($J43,Atributos!$G$22:$H$25,2)/5</f>
        <v>0</v>
      </c>
      <c r="W43" s="43">
        <f>+VLOOKUP($A43,S0!$C$2:$Y$89,23)/8 * VLOOKUP($I43,Atributos!$A$28:$B$31,2) * VLOOKUP($J43,Atributos!$G$22:$H$25,2)/5</f>
        <v>0</v>
      </c>
      <c r="X43" s="43">
        <f t="shared" si="8"/>
        <v>0</v>
      </c>
      <c r="Y43" s="87">
        <f t="shared" si="10"/>
        <v>0</v>
      </c>
      <c r="Z43" s="87">
        <f t="shared" si="11"/>
        <v>0</v>
      </c>
      <c r="AA43" s="87">
        <f t="shared" si="12"/>
        <v>0</v>
      </c>
      <c r="AB43" s="87">
        <f t="shared" si="13"/>
        <v>0</v>
      </c>
      <c r="AC43" s="87">
        <f t="shared" si="14"/>
        <v>0</v>
      </c>
      <c r="AD43" s="87">
        <f t="shared" si="6"/>
        <v>0</v>
      </c>
    </row>
    <row r="44" spans="1:30" ht="180" x14ac:dyDescent="0.25">
      <c r="A44" s="40" t="s">
        <v>358</v>
      </c>
      <c r="B44" s="63" t="str">
        <f>+VLOOKUP(A44,S0!$C$2:$I$89,7)</f>
        <v>MM</v>
      </c>
      <c r="C44" s="116" t="s">
        <v>672</v>
      </c>
      <c r="D44" s="62" t="s">
        <v>680</v>
      </c>
      <c r="E44" s="64" t="str">
        <f>+VLOOKUP(A44,S0!$C$2:$I$89,3)</f>
        <v>Estrategias para Solicitud de Pedido
Estrategias para Orden de Compra
Estrategias para Pedido Abierto
Estrategia para Hoja de Entrada de Servicio</v>
      </c>
      <c r="F44" s="64" t="str">
        <f>+VLOOKUP(A44,S0!$C$2:$I$89,4)</f>
        <v>Esta funcionalidad de SAP S/4HANA permite establecer criterios de aprobación definidos para los documentos de compras y ejecutar las liberaciones desde My Inbox que se puede desplegar en celulares.</v>
      </c>
      <c r="G44" s="64" t="str">
        <f>+VLOOKUP(A44,S0!$C$2:$I$89,5)</f>
        <v>- Liberación de solicitudes
- Liberación  orden de compra
- Liberación  pedido abierto
- Liberación  de hojas de entrada de servicio.</v>
      </c>
      <c r="H44" s="64" t="str">
        <f>+VLOOKUP(A44,S0!$C$2:$I$89,6)</f>
        <v xml:space="preserve">1. Se excluye  las notificaciones para liberar los documentos. Esto será en la siguiente versión
2. Se excluye cualquier cambio de lógica adicional al funcionamiento estándar de las estrategias. </v>
      </c>
      <c r="I44" s="46" t="s">
        <v>92</v>
      </c>
      <c r="J44" s="46" t="s">
        <v>87</v>
      </c>
      <c r="K44" s="99"/>
      <c r="L44" s="77">
        <f>+(VLOOKUP($A44,S0!$C$2:$Y$89,18)/8 * VLOOKUP($I44,Atributos!$A$28:$B$31,2) * VLOOKUP($J44,Atributos!$A$22:$B$25,2))/5</f>
        <v>3.7499999999999999E-2</v>
      </c>
      <c r="M44" s="37">
        <f>+(VLOOKUP($A44,S0!$C$2:$Y$89,19)/8 * VLOOKUP($I44,Atributos!$A$28:$B67,2) * VLOOKUP($J44,Atributos!$A$22:$B61,2))/5</f>
        <v>0.15</v>
      </c>
      <c r="N44" s="43">
        <f>+VLOOKUP($A44,S0!$C$2:$Y$89,20)/8 * VLOOKUP($I44,Atributos!$A$28:$B$31,2) * VLOOKUP($J44,Atributos!$A$22:$B$25,2)/5</f>
        <v>0.6</v>
      </c>
      <c r="O44" s="43">
        <f>+VLOOKUP($A44,S0!$C$2:$Y$89,21)/8 * VLOOKUP($I44,Atributos!$A$28:$B$31,2) * VLOOKUP($J44,Atributos!$A$22:$B$25,2)/5</f>
        <v>1.2</v>
      </c>
      <c r="P44" s="43">
        <f>+VLOOKUP($A44,S0!$C$2:$Y$89,22)/8 * VLOOKUP($I44,Atributos!$A$28:$B$31,2) * VLOOKUP($J44,Atributos!$A$22:$B$25,2)/5</f>
        <v>0.3</v>
      </c>
      <c r="Q44" s="43">
        <f>+VLOOKUP($A44,S0!$C$2:$Y$89,23)/8 * VLOOKUP($I44,Atributos!$A$28:$B$31,2) * VLOOKUP($J44,Atributos!$A$22:$B$25,2)/5</f>
        <v>0.3</v>
      </c>
      <c r="R44" s="43">
        <f t="shared" si="9"/>
        <v>2.25</v>
      </c>
      <c r="S44" s="43">
        <f>+(VLOOKUP($A44,S0!$C$2:$Y$89,19)/8 * VLOOKUP($I44,Atributos!$A$28:$B$31,2) * VLOOKUP($J44,Atributos!$G$22:$H$25,2))/5</f>
        <v>0.05</v>
      </c>
      <c r="T44" s="43">
        <f>+VLOOKUP($A44,S0!$C$2:$Y$89,20)/8 * VLOOKUP($I44,Atributos!$A$28:$B$31,2) * VLOOKUP($J44,Atributos!$G$22:$H$25,2)/5</f>
        <v>0.4</v>
      </c>
      <c r="U44" s="43">
        <f>+VLOOKUP($A44,S0!$C$2:$Y$89,21)/8 * VLOOKUP($I44,Atributos!$A$28:$B$31,2) * VLOOKUP($J44,Atributos!$G$22:$H$25,2)/5</f>
        <v>0.8</v>
      </c>
      <c r="V44" s="43">
        <f>+VLOOKUP($A44,S0!$C$2:$Y$89,22)/8 * VLOOKUP($I44,Atributos!$A$28:$B$31,2) * VLOOKUP($J44,Atributos!$G$22:$H$25,2)/5</f>
        <v>0.2</v>
      </c>
      <c r="W44" s="43">
        <f>+VLOOKUP($A44,S0!$C$2:$Y$89,23)/8 * VLOOKUP($I44,Atributos!$A$28:$B$31,2) * VLOOKUP($J44,Atributos!$G$22:$H$25,2)/5</f>
        <v>0.2</v>
      </c>
      <c r="X44" s="43">
        <f t="shared" si="8"/>
        <v>1.45</v>
      </c>
      <c r="Y44" s="87">
        <f t="shared" si="10"/>
        <v>0.1</v>
      </c>
      <c r="Z44" s="87">
        <f t="shared" si="11"/>
        <v>0.5</v>
      </c>
      <c r="AA44" s="87">
        <f t="shared" si="12"/>
        <v>1</v>
      </c>
      <c r="AB44" s="87">
        <f t="shared" si="13"/>
        <v>0.25</v>
      </c>
      <c r="AC44" s="87">
        <f t="shared" si="14"/>
        <v>0.25</v>
      </c>
      <c r="AD44" s="87">
        <f t="shared" si="6"/>
        <v>1.85</v>
      </c>
    </row>
    <row r="45" spans="1:30" ht="409.5" x14ac:dyDescent="0.25">
      <c r="A45" s="40" t="s">
        <v>366</v>
      </c>
      <c r="B45" s="63" t="str">
        <f>+VLOOKUP(A45,S0!$C$2:$I$89,7)</f>
        <v>MM</v>
      </c>
      <c r="C45" s="114" t="s">
        <v>672</v>
      </c>
      <c r="D45" s="62"/>
      <c r="E45" s="64" t="str">
        <f>+VLOOKUP(A45,S0!$C$2:$I$89,3)</f>
        <v>Entrada de Mercadería
- Por Pedido de Compra
- Por Pedido de Traslado
- Sin Pedido de compra
° Por Carga Inicial
° Entrada sin referencia
Traspasos
- Entre almacenes en un paso 
- Entre almacenes en dos pasos. 
- Cambio tipo de stock
- Cambio de código de material
Traslado con pedido de traslado (entre centros)
- Creación de Pedido de Traslado
- Generación Entrega de Salida
- Generación de la salida de materiales. 
- Registro de Entrada de Mercadería a centro destino
Salidas No Comerciales de Materiales/Mercancías
- Generación de reservas para atención de almacén. 
- Salida por consumo
Devolución a proveedor
- Con pedido de devolución
Desguace (Deterioro, caducidad, obsolescencia, y/o merma
Salida por ventas 
Reportes</v>
      </c>
      <c r="F45" s="64" t="str">
        <f>+VLOOKUP(A45,S0!$C$2:$I$89,4)</f>
        <v xml:space="preserve">Este proceso contempla todos los movimientos que se puedan realizar con las existencias o material que solo cuenten con gestión de cantidad y se encuentren dentro de los almacenes o bodegas de la empresa y que sean registrado dentro de SAP. Movimientos como:
- Entradas de material.
- Salidas de material no comerciales.
- Traslados planificados o no planificados.
- Traspaso entre materiales.
Entre otros movimientos.
</v>
      </c>
      <c r="G45" s="64" t="str">
        <f>+VLOOKUP(A45,S0!$C$2:$I$89,5)</f>
        <v xml:space="preserve">- Movientos traspaso entre almacenes de 1 y 2 pasos. 
- Cambio de tipo de stock. 
- Cambio Código de material
- Traslado entre centros con pedido de traslado
- Anulación de documento de material. 
- Devolución a proveedor con pedido de devolución. 
- Salida por deterioro.
- Salidas por reserva a centro de costo.
- Traspaso de lotes. </v>
      </c>
      <c r="H45" s="64" t="str">
        <f>+VLOOKUP(A45,S0!$C$2:$I$89,6)</f>
        <v>- Determinación de lotes
- Variación del costo del material por traslado de productos.</v>
      </c>
      <c r="I45" s="46" t="s">
        <v>94</v>
      </c>
      <c r="J45" s="46" t="s">
        <v>89</v>
      </c>
      <c r="K45" s="99" t="s">
        <v>625</v>
      </c>
      <c r="L45" s="77">
        <f>+(VLOOKUP($A45,S0!$C$2:$Y$89,18)/8 * VLOOKUP($I45,Atributos!$A$28:$B$31,2) * VLOOKUP($J45,Atributos!$A$22:$B$25,2))/5</f>
        <v>0.1875</v>
      </c>
      <c r="M45" s="37">
        <f>+(VLOOKUP($A45,S0!$C$2:$Y$89,19)/8 * VLOOKUP($I45,Atributos!$A$28:$B68,2) * VLOOKUP($J45,Atributos!$A$22:$B62,2))/5</f>
        <v>0.6</v>
      </c>
      <c r="N45" s="43">
        <f>+VLOOKUP($A45,S0!$C$2:$Y$89,20)/8 * VLOOKUP($I45,Atributos!$A$28:$B$31,2) * VLOOKUP($J45,Atributos!$A$22:$B$25,2)/5</f>
        <v>3</v>
      </c>
      <c r="O45" s="43">
        <f>+VLOOKUP($A45,S0!$C$2:$Y$89,21)/8 * VLOOKUP($I45,Atributos!$A$28:$B$31,2) * VLOOKUP($J45,Atributos!$A$22:$B$25,2)/5</f>
        <v>6</v>
      </c>
      <c r="P45" s="43">
        <f>+VLOOKUP($A45,S0!$C$2:$Y$89,22)/8 * VLOOKUP($I45,Atributos!$A$28:$B$31,2) * VLOOKUP($J45,Atributos!$A$22:$B$25,2)/5</f>
        <v>1.5</v>
      </c>
      <c r="Q45" s="43">
        <f>+VLOOKUP($A45,S0!$C$2:$Y$89,23)/8 * VLOOKUP($I45,Atributos!$A$28:$B$31,2) * VLOOKUP($J45,Atributos!$A$22:$B$25,2)/5</f>
        <v>1.5</v>
      </c>
      <c r="R45" s="43">
        <f t="shared" si="9"/>
        <v>11.1</v>
      </c>
      <c r="S45" s="43">
        <f>+(VLOOKUP($A45,S0!$C$2:$Y$89,19)/8 * VLOOKUP($I45,Atributos!$A$28:$B$31,2) * VLOOKUP($J45,Atributos!$G$22:$H$25,2))/5</f>
        <v>0.25</v>
      </c>
      <c r="T45" s="43">
        <f>+VLOOKUP($A45,S0!$C$2:$Y$89,20)/8 * VLOOKUP($I45,Atributos!$A$28:$B$31,2) * VLOOKUP($J45,Atributos!$G$22:$H$25,2)/5</f>
        <v>2</v>
      </c>
      <c r="U45" s="43">
        <f>+VLOOKUP($A45,S0!$C$2:$Y$89,21)/8 * VLOOKUP($I45,Atributos!$A$28:$B$31,2) * VLOOKUP($J45,Atributos!$G$22:$H$25,2)/5</f>
        <v>4</v>
      </c>
      <c r="V45" s="43">
        <f>+VLOOKUP($A45,S0!$C$2:$Y$89,22)/8 * VLOOKUP($I45,Atributos!$A$28:$B$31,2) * VLOOKUP($J45,Atributos!$G$22:$H$25,2)/5</f>
        <v>1</v>
      </c>
      <c r="W45" s="43">
        <f>+VLOOKUP($A45,S0!$C$2:$Y$89,23)/8 * VLOOKUP($I45,Atributos!$A$28:$B$31,2) * VLOOKUP($J45,Atributos!$G$22:$H$25,2)/5</f>
        <v>1</v>
      </c>
      <c r="X45" s="43">
        <f t="shared" si="8"/>
        <v>7.25</v>
      </c>
      <c r="Y45" s="87">
        <f t="shared" si="10"/>
        <v>0.42499999999999999</v>
      </c>
      <c r="Z45" s="87">
        <f t="shared" si="11"/>
        <v>2.5</v>
      </c>
      <c r="AA45" s="87">
        <f t="shared" si="12"/>
        <v>5</v>
      </c>
      <c r="AB45" s="87">
        <f t="shared" si="13"/>
        <v>1.25</v>
      </c>
      <c r="AC45" s="87">
        <f t="shared" si="14"/>
        <v>1.25</v>
      </c>
      <c r="AD45" s="87">
        <f t="shared" si="6"/>
        <v>9.1750000000000007</v>
      </c>
    </row>
    <row r="46" spans="1:30" ht="180" x14ac:dyDescent="0.25">
      <c r="A46" s="40" t="s">
        <v>373</v>
      </c>
      <c r="B46" s="63" t="str">
        <f>+VLOOKUP(A46,S0!$C$2:$I$89,7)</f>
        <v>MM</v>
      </c>
      <c r="C46" s="114" t="s">
        <v>672</v>
      </c>
      <c r="D46" s="62"/>
      <c r="E46" s="64" t="str">
        <f>+VLOOKUP(A46,S0!$C$2:$I$89,3)</f>
        <v>Generación de Documento de inventario
Generación del Formulario de Inventario (Estándar)
Registro del conteo (recuento) de inventario
Generación de listado de diferencias
Contabilización de diferencias
Reportes</v>
      </c>
      <c r="F46" s="64" t="str">
        <f>+VLOOKUP(A46,S0!$C$2:$I$89,4)</f>
        <v>Este proceso en SAP S/4HANA, permite la toma del inventario de los almacenes de su empresa para el balance. Dicho inventario, puede realizarse tanto para el stock propio como para el stock especial como por ej. el stock en consignación en el cliente, stock externo de artículos en consignación del proveedor o embalaje en préstamo.
Teniendo como premisa que el inventario de cada uno de ellos; es decir, del stock propio y del especial, deben realizarse por separado. Por lo tanto, se deberán crear diferentes documentos de inventarios para la toma de dichos inventarios.</v>
      </c>
      <c r="G46" s="64" t="str">
        <f>+VLOOKUP(A46,S0!$C$2:$I$89,5)</f>
        <v>Contabilización del conteo (material sujeto a lote).
Contabilización en base a reconteo (material no sujeto a lote).</v>
      </c>
      <c r="H46" s="64" t="str">
        <f>+VLOOKUP(A46,S0!$C$2:$I$89,6)</f>
        <v xml:space="preserve">Se excluye pruebas de toma de inventario para otro tipo de stock especial. 
Solo stock propio. </v>
      </c>
      <c r="I46" s="46" t="s">
        <v>92</v>
      </c>
      <c r="J46" s="46" t="s">
        <v>87</v>
      </c>
      <c r="K46" s="99"/>
      <c r="L46" s="77">
        <f>+(VLOOKUP($A46,S0!$C$2:$Y$89,18)/8 * VLOOKUP($I46,Atributos!$A$28:$B$31,2) * VLOOKUP($J46,Atributos!$A$22:$B$25,2))/5</f>
        <v>3.7499999999999999E-2</v>
      </c>
      <c r="M46" s="37">
        <f>+(VLOOKUP($A46,S0!$C$2:$Y$89,19)/8 * VLOOKUP($I46,Atributos!$A$28:$B69,2) * VLOOKUP($J46,Atributos!$A$22:$B63,2))/5</f>
        <v>0.15</v>
      </c>
      <c r="N46" s="43">
        <f>+VLOOKUP($A46,S0!$C$2:$Y$89,20)/8 * VLOOKUP($I46,Atributos!$A$28:$B$31,2) * VLOOKUP($J46,Atributos!$A$22:$B$25,2)/5</f>
        <v>0.6</v>
      </c>
      <c r="O46" s="43">
        <f>+VLOOKUP($A46,S0!$C$2:$Y$89,21)/8 * VLOOKUP($I46,Atributos!$A$28:$B$31,2) * VLOOKUP($J46,Atributos!$A$22:$B$25,2)/5</f>
        <v>1.2</v>
      </c>
      <c r="P46" s="43">
        <f>+VLOOKUP($A46,S0!$C$2:$Y$89,22)/8 * VLOOKUP($I46,Atributos!$A$28:$B$31,2) * VLOOKUP($J46,Atributos!$A$22:$B$25,2)/5</f>
        <v>0.3</v>
      </c>
      <c r="Q46" s="43">
        <f>+VLOOKUP($A46,S0!$C$2:$Y$89,23)/8 * VLOOKUP($I46,Atributos!$A$28:$B$31,2) * VLOOKUP($J46,Atributos!$A$22:$B$25,2)/5</f>
        <v>0.3</v>
      </c>
      <c r="R46" s="43">
        <f t="shared" si="9"/>
        <v>2.25</v>
      </c>
      <c r="S46" s="43">
        <f>+(VLOOKUP($A46,S0!$C$2:$Y$89,19)/8 * VLOOKUP($I46,Atributos!$A$28:$B$31,2) * VLOOKUP($J46,Atributos!$G$22:$H$25,2))/5</f>
        <v>0.05</v>
      </c>
      <c r="T46" s="43">
        <f>+VLOOKUP($A46,S0!$C$2:$Y$89,20)/8 * VLOOKUP($I46,Atributos!$A$28:$B$31,2) * VLOOKUP($J46,Atributos!$G$22:$H$25,2)/5</f>
        <v>0.4</v>
      </c>
      <c r="U46" s="43">
        <f>+VLOOKUP($A46,S0!$C$2:$Y$89,21)/8 * VLOOKUP($I46,Atributos!$A$28:$B$31,2) * VLOOKUP($J46,Atributos!$G$22:$H$25,2)/5</f>
        <v>0.8</v>
      </c>
      <c r="V46" s="43">
        <f>+VLOOKUP($A46,S0!$C$2:$Y$89,22)/8 * VLOOKUP($I46,Atributos!$A$28:$B$31,2) * VLOOKUP($J46,Atributos!$G$22:$H$25,2)/5</f>
        <v>0.2</v>
      </c>
      <c r="W46" s="43">
        <f>+VLOOKUP($A46,S0!$C$2:$Y$89,23)/8 * VLOOKUP($I46,Atributos!$A$28:$B$31,2) * VLOOKUP($J46,Atributos!$G$22:$H$25,2)/5</f>
        <v>0.2</v>
      </c>
      <c r="X46" s="43">
        <f t="shared" si="8"/>
        <v>1.45</v>
      </c>
      <c r="Y46" s="87">
        <f t="shared" si="10"/>
        <v>0.1</v>
      </c>
      <c r="Z46" s="87">
        <f t="shared" si="11"/>
        <v>0.5</v>
      </c>
      <c r="AA46" s="87">
        <f t="shared" si="12"/>
        <v>1</v>
      </c>
      <c r="AB46" s="87">
        <f t="shared" si="13"/>
        <v>0.25</v>
      </c>
      <c r="AC46" s="87">
        <f t="shared" si="14"/>
        <v>0.25</v>
      </c>
      <c r="AD46" s="87">
        <f t="shared" si="6"/>
        <v>1.85</v>
      </c>
    </row>
    <row r="47" spans="1:30" ht="45" x14ac:dyDescent="0.25">
      <c r="A47" s="36" t="s">
        <v>379</v>
      </c>
      <c r="B47" s="63" t="str">
        <f>+VLOOKUP(A47,S0!$C$2:$I$89,7)</f>
        <v>PM</v>
      </c>
      <c r="C47" s="114" t="s">
        <v>711</v>
      </c>
      <c r="D47" s="62" t="s">
        <v>709</v>
      </c>
      <c r="E47" s="64" t="str">
        <f>+VLOOKUP(A47,S0!$C$2:$I$89,3)</f>
        <v>Definición de estructura PM</v>
      </c>
      <c r="F47" s="64" t="str">
        <f>+VLOOKUP(A47,S0!$C$2:$I$89,4)</f>
        <v>Define el uso del modelo centralizado o descentralizado.</v>
      </c>
      <c r="G47" s="64" t="str">
        <f>+VLOOKUP(A47,S0!$C$2:$I$89,5)</f>
        <v>Define el uso del modelo centralizado o descentralizado.</v>
      </c>
      <c r="H47" s="64">
        <f>+VLOOKUP(A47,S0!$C$2:$I$89,6)</f>
        <v>0</v>
      </c>
      <c r="I47" s="46" t="s">
        <v>95</v>
      </c>
      <c r="J47" s="46" t="s">
        <v>87</v>
      </c>
      <c r="K47" s="99"/>
      <c r="L47" s="77">
        <f>+(VLOOKUP($A47,S0!$C$2:$Y$89,18)/8 * VLOOKUP($I47,Atributos!$A$28:$B$31,2) * VLOOKUP($J47,Atributos!$A$22:$B$25,2))/5</f>
        <v>0</v>
      </c>
      <c r="M47" s="37">
        <f>+(VLOOKUP($A47,S0!$C$2:$Y$89,19)/8 * VLOOKUP($I47,Atributos!$A$28:$B70,2) * VLOOKUP($J47,Atributos!$A$22:$B64,2))/5</f>
        <v>0.25</v>
      </c>
      <c r="N47" s="43">
        <f>+VLOOKUP($A47,S0!$C$2:$Y$89,20)/8 * VLOOKUP($I47,Atributos!$A$28:$B$31,2) * VLOOKUP($J47,Atributos!$A$22:$B$25,2)/5</f>
        <v>0</v>
      </c>
      <c r="O47" s="43">
        <f>+VLOOKUP($A47,S0!$C$2:$Y$89,21)/8 * VLOOKUP($I47,Atributos!$A$28:$B$31,2) * VLOOKUP($J47,Atributos!$A$22:$B$25,2)/5</f>
        <v>0</v>
      </c>
      <c r="P47" s="43">
        <f>+VLOOKUP($A47,S0!$C$2:$Y$89,22)/8 * VLOOKUP($I47,Atributos!$A$28:$B$31,2) * VLOOKUP($J47,Atributos!$A$22:$B$25,2)/5</f>
        <v>0</v>
      </c>
      <c r="Q47" s="43">
        <f>+VLOOKUP($A47,S0!$C$2:$Y$89,23)/8 * VLOOKUP($I47,Atributos!$A$28:$B$31,2) * VLOOKUP($J47,Atributos!$A$22:$B$25,2)/5</f>
        <v>0</v>
      </c>
      <c r="R47" s="43">
        <f t="shared" si="9"/>
        <v>0.25</v>
      </c>
      <c r="S47" s="43">
        <f>+(VLOOKUP($A47,S0!$C$2:$Y$89,19)/8 * VLOOKUP($I47,Atributos!$A$28:$B$31,2) * VLOOKUP($J47,Atributos!$G$22:$H$25,2))/5</f>
        <v>0</v>
      </c>
      <c r="T47" s="43">
        <f>+VLOOKUP($A47,S0!$C$2:$Y$89,20)/8 * VLOOKUP($I47,Atributos!$A$28:$B$31,2) * VLOOKUP($J47,Atributos!$G$22:$H$25,2)/5</f>
        <v>0</v>
      </c>
      <c r="U47" s="43">
        <f>+VLOOKUP($A47,S0!$C$2:$Y$89,21)/8 * VLOOKUP($I47,Atributos!$A$28:$B$31,2) * VLOOKUP($J47,Atributos!$G$22:$H$25,2)/5</f>
        <v>0</v>
      </c>
      <c r="V47" s="43">
        <f>+VLOOKUP($A47,S0!$C$2:$Y$89,22)/8 * VLOOKUP($I47,Atributos!$A$28:$B$31,2) * VLOOKUP($J47,Atributos!$G$22:$H$25,2)/5</f>
        <v>0</v>
      </c>
      <c r="W47" s="43">
        <f>+VLOOKUP($A47,S0!$C$2:$Y$89,23)/8 * VLOOKUP($I47,Atributos!$A$28:$B$31,2) * VLOOKUP($J47,Atributos!$G$22:$H$25,2)/5</f>
        <v>0</v>
      </c>
      <c r="X47" s="43">
        <f t="shared" si="8"/>
        <v>0</v>
      </c>
      <c r="Y47" s="87">
        <f t="shared" si="10"/>
        <v>0.125</v>
      </c>
      <c r="Z47" s="87">
        <f t="shared" si="11"/>
        <v>0</v>
      </c>
      <c r="AA47" s="87">
        <f t="shared" si="12"/>
        <v>0</v>
      </c>
      <c r="AB47" s="87">
        <f t="shared" si="13"/>
        <v>0</v>
      </c>
      <c r="AC47" s="87">
        <f t="shared" si="14"/>
        <v>0</v>
      </c>
      <c r="AD47" s="87">
        <f t="shared" si="6"/>
        <v>0.125</v>
      </c>
    </row>
    <row r="48" spans="1:30" ht="90" x14ac:dyDescent="0.25">
      <c r="A48" s="36" t="s">
        <v>383</v>
      </c>
      <c r="B48" s="63" t="str">
        <f>+VLOOKUP(A48,S0!$C$2:$I$89,7)</f>
        <v>PM</v>
      </c>
      <c r="C48" s="62" t="s">
        <v>712</v>
      </c>
      <c r="D48" s="62" t="s">
        <v>713</v>
      </c>
      <c r="E48" s="64" t="str">
        <f>+VLOOKUP(A48,S0!$C$2:$I$89,3)</f>
        <v>- Catálogos
- Clases y características
- Ubicaciones técnicas
- Equipos
- Puestos de trabajo
- Listas de materiales</v>
      </c>
      <c r="F48" s="64" t="str">
        <f>+VLOOKUP(A48,S0!$C$2:$I$89,4)</f>
        <v>Describe los datos maestros necesarios para representar las instalaciones industriales dentro del sistema y poder llevar de manera adecuada el seguimiento de las actividades de mantenimiento a nivel de cada activo.</v>
      </c>
      <c r="G48" s="64">
        <f>+VLOOKUP(A48,S0!$C$2:$I$89,5)</f>
        <v>0</v>
      </c>
      <c r="H48" s="64">
        <f>+VLOOKUP(A48,S0!$C$2:$I$89,6)</f>
        <v>0</v>
      </c>
      <c r="I48" s="46" t="s">
        <v>95</v>
      </c>
      <c r="J48" s="46" t="s">
        <v>87</v>
      </c>
      <c r="K48" s="99"/>
      <c r="L48" s="77">
        <f>+(VLOOKUP($A48,S0!$C$2:$Y$89,18)/8 * VLOOKUP($I48,Atributos!$A$28:$B$31,2) * VLOOKUP($J48,Atributos!$A$22:$B$25,2))/5</f>
        <v>0</v>
      </c>
      <c r="M48" s="37">
        <f>+(VLOOKUP($A48,S0!$C$2:$Y$89,19)/8 * VLOOKUP($I48,Atributos!$A$28:$B71,2) * VLOOKUP($J48,Atributos!$A$22:$B65,2))/5</f>
        <v>0.25</v>
      </c>
      <c r="N48" s="43">
        <f>+VLOOKUP($A48,S0!$C$2:$Y$89,20)/8 * VLOOKUP($I48,Atributos!$A$28:$B$31,2) * VLOOKUP($J48,Atributos!$A$22:$B$25,2)/5</f>
        <v>0</v>
      </c>
      <c r="O48" s="43">
        <f>+VLOOKUP($A48,S0!$C$2:$Y$89,21)/8 * VLOOKUP($I48,Atributos!$A$28:$B$31,2) * VLOOKUP($J48,Atributos!$A$22:$B$25,2)/5</f>
        <v>0</v>
      </c>
      <c r="P48" s="43">
        <f>+VLOOKUP($A48,S0!$C$2:$Y$89,22)/8 * VLOOKUP($I48,Atributos!$A$28:$B$31,2) * VLOOKUP($J48,Atributos!$A$22:$B$25,2)/5</f>
        <v>0</v>
      </c>
      <c r="Q48" s="43">
        <f>+VLOOKUP($A48,S0!$C$2:$Y$89,23)/8 * VLOOKUP($I48,Atributos!$A$28:$B$31,2) * VLOOKUP($J48,Atributos!$A$22:$B$25,2)/5</f>
        <v>0</v>
      </c>
      <c r="R48" s="43">
        <f t="shared" si="9"/>
        <v>0.25</v>
      </c>
      <c r="S48" s="43">
        <f>+(VLOOKUP($A48,S0!$C$2:$Y$89,19)/8 * VLOOKUP($I48,Atributos!$A$28:$B$31,2) * VLOOKUP($J48,Atributos!$G$22:$H$25,2))/5</f>
        <v>0</v>
      </c>
      <c r="T48" s="43">
        <f>+VLOOKUP($A48,S0!$C$2:$Y$89,20)/8 * VLOOKUP($I48,Atributos!$A$28:$B$31,2) * VLOOKUP($J48,Atributos!$G$22:$H$25,2)/5</f>
        <v>0</v>
      </c>
      <c r="U48" s="43">
        <f>+VLOOKUP($A48,S0!$C$2:$Y$89,21)/8 * VLOOKUP($I48,Atributos!$A$28:$B$31,2) * VLOOKUP($J48,Atributos!$G$22:$H$25,2)/5</f>
        <v>0</v>
      </c>
      <c r="V48" s="43">
        <f>+VLOOKUP($A48,S0!$C$2:$Y$89,22)/8 * VLOOKUP($I48,Atributos!$A$28:$B$31,2) * VLOOKUP($J48,Atributos!$G$22:$H$25,2)/5</f>
        <v>0</v>
      </c>
      <c r="W48" s="43">
        <f>+VLOOKUP($A48,S0!$C$2:$Y$89,23)/8 * VLOOKUP($I48,Atributos!$A$28:$B$31,2) * VLOOKUP($J48,Atributos!$G$22:$H$25,2)/5</f>
        <v>0</v>
      </c>
      <c r="X48" s="43">
        <f t="shared" si="8"/>
        <v>0</v>
      </c>
      <c r="Y48" s="87">
        <f t="shared" si="10"/>
        <v>0.125</v>
      </c>
      <c r="Z48" s="87">
        <f t="shared" si="11"/>
        <v>0</v>
      </c>
      <c r="AA48" s="87">
        <f t="shared" si="12"/>
        <v>0</v>
      </c>
      <c r="AB48" s="87">
        <f t="shared" si="13"/>
        <v>0</v>
      </c>
      <c r="AC48" s="87">
        <f t="shared" si="14"/>
        <v>0</v>
      </c>
      <c r="AD48" s="87">
        <f t="shared" si="6"/>
        <v>0.125</v>
      </c>
    </row>
    <row r="49" spans="1:30" ht="90" x14ac:dyDescent="0.25">
      <c r="A49" s="36" t="s">
        <v>387</v>
      </c>
      <c r="B49" s="63" t="str">
        <f>+VLOOKUP(A49,S0!$C$2:$I$89,7)</f>
        <v>PM</v>
      </c>
      <c r="C49" s="111" t="s">
        <v>707</v>
      </c>
      <c r="D49" s="62" t="s">
        <v>708</v>
      </c>
      <c r="E49" s="64" t="str">
        <f>+VLOOKUP(A49,S0!$C$2:$I$89,3)</f>
        <v>Creación de aviso. Creación de OM. Liberación de OM. Integración con compras. Notificación. Consumo de reservas. Cierre técnico. Cierre comercial</v>
      </c>
      <c r="F49" s="64" t="str">
        <f>+VLOOKUP(A49,S0!$C$2:$I$89,4)</f>
        <v>Describe el flujo de proceso desde que se reporta un incidente hasta la solución del mismo. Está basado en el aviso de mantenimiento que sirve para documentar el incidente de mantenimiento y la OM que sirve para controlar las operaciones desde el punto de vista de la logística, compras y costos.</v>
      </c>
      <c r="G49" s="64">
        <f>+VLOOKUP(A49,S0!$C$2:$I$89,5)</f>
        <v>0</v>
      </c>
      <c r="H49" s="64">
        <f>+VLOOKUP(A49,S0!$C$2:$I$89,6)</f>
        <v>0</v>
      </c>
      <c r="I49" s="46" t="s">
        <v>95</v>
      </c>
      <c r="J49" s="46" t="s">
        <v>87</v>
      </c>
      <c r="K49" s="99"/>
      <c r="L49" s="77">
        <f>+(VLOOKUP($A49,S0!$C$2:$Y$89,18)/8 * VLOOKUP($I49,Atributos!$A$28:$B$31,2) * VLOOKUP($J49,Atributos!$A$22:$B$25,2))/5</f>
        <v>0</v>
      </c>
      <c r="M49" s="37">
        <f>+(VLOOKUP($A49,S0!$C$2:$Y$89,19)/8 * VLOOKUP($I49,Atributos!$A$28:$B72,2) * VLOOKUP($J49,Atributos!$A$22:$B66,2))/5</f>
        <v>0.5</v>
      </c>
      <c r="N49" s="43">
        <f>+VLOOKUP($A49,S0!$C$2:$Y$89,20)/8 * VLOOKUP($I49,Atributos!$A$28:$B$31,2) * VLOOKUP($J49,Atributos!$A$22:$B$25,2)/5</f>
        <v>0</v>
      </c>
      <c r="O49" s="43">
        <f>+VLOOKUP($A49,S0!$C$2:$Y$89,21)/8 * VLOOKUP($I49,Atributos!$A$28:$B$31,2) * VLOOKUP($J49,Atributos!$A$22:$B$25,2)/5</f>
        <v>0</v>
      </c>
      <c r="P49" s="43">
        <f>+VLOOKUP($A49,S0!$C$2:$Y$89,22)/8 * VLOOKUP($I49,Atributos!$A$28:$B$31,2) * VLOOKUP($J49,Atributos!$A$22:$B$25,2)/5</f>
        <v>0</v>
      </c>
      <c r="Q49" s="43">
        <f>+VLOOKUP($A49,S0!$C$2:$Y$89,23)/8 * VLOOKUP($I49,Atributos!$A$28:$B$31,2) * VLOOKUP($J49,Atributos!$A$22:$B$25,2)/5</f>
        <v>0</v>
      </c>
      <c r="R49" s="43">
        <f t="shared" si="9"/>
        <v>0.5</v>
      </c>
      <c r="S49" s="43">
        <f>+(VLOOKUP($A49,S0!$C$2:$Y$89,19)/8 * VLOOKUP($I49,Atributos!$A$28:$B$31,2) * VLOOKUP($J49,Atributos!$G$22:$H$25,2))/5</f>
        <v>0</v>
      </c>
      <c r="T49" s="43">
        <f>+VLOOKUP($A49,S0!$C$2:$Y$89,20)/8 * VLOOKUP($I49,Atributos!$A$28:$B$31,2) * VLOOKUP($J49,Atributos!$G$22:$H$25,2)/5</f>
        <v>0</v>
      </c>
      <c r="U49" s="43">
        <f>+VLOOKUP($A49,S0!$C$2:$Y$89,21)/8 * VLOOKUP($I49,Atributos!$A$28:$B$31,2) * VLOOKUP($J49,Atributos!$G$22:$H$25,2)/5</f>
        <v>0</v>
      </c>
      <c r="V49" s="43">
        <f>+VLOOKUP($A49,S0!$C$2:$Y$89,22)/8 * VLOOKUP($I49,Atributos!$A$28:$B$31,2) * VLOOKUP($J49,Atributos!$G$22:$H$25,2)/5</f>
        <v>0</v>
      </c>
      <c r="W49" s="43">
        <f>+VLOOKUP($A49,S0!$C$2:$Y$89,23)/8 * VLOOKUP($I49,Atributos!$A$28:$B$31,2) * VLOOKUP($J49,Atributos!$G$22:$H$25,2)/5</f>
        <v>0</v>
      </c>
      <c r="X49" s="43">
        <f t="shared" si="8"/>
        <v>0</v>
      </c>
      <c r="Y49" s="87">
        <f t="shared" si="10"/>
        <v>0.25</v>
      </c>
      <c r="Z49" s="87">
        <f t="shared" si="11"/>
        <v>0</v>
      </c>
      <c r="AA49" s="87">
        <f t="shared" si="12"/>
        <v>0</v>
      </c>
      <c r="AB49" s="87">
        <f t="shared" si="13"/>
        <v>0</v>
      </c>
      <c r="AC49" s="87">
        <f t="shared" si="14"/>
        <v>0</v>
      </c>
      <c r="AD49" s="87">
        <f t="shared" si="6"/>
        <v>0.25</v>
      </c>
    </row>
    <row r="50" spans="1:30" ht="375" x14ac:dyDescent="0.25">
      <c r="A50" s="36" t="s">
        <v>392</v>
      </c>
      <c r="B50" s="63" t="str">
        <f>+VLOOKUP(A50,S0!$C$2:$I$89,7)</f>
        <v>PM</v>
      </c>
      <c r="C50" s="111" t="s">
        <v>705</v>
      </c>
      <c r="D50" s="62" t="s">
        <v>706</v>
      </c>
      <c r="E50" s="64" t="str">
        <f>+VLOOKUP(A50,S0!$C$2:$I$89,3)</f>
        <v>Creación de estrategias.
Creación de hojas de ruta.
Creación de planes de mantenimiento.
Registro de documentos de medición
Programación de plan. Creación de OM. Liberación de OM. Integración con compras. Notificación. Consumo de reservas. Cierre técnico. Cierre comercial</v>
      </c>
      <c r="F50" s="64" t="str">
        <f>+VLOOKUP(A50,S0!$C$2:$I$89,4)</f>
        <v>Se define las frecuencias necesarias para establecer los mantenimientos preventivos, puede realizarse a través de variables temporales o en base a los contadores de los puntos de medición.
Se define el uso de las hojas de ruta. Estas describen las operaciones de mantenimiento que se deben realizar de acuerdo a las definiciones de negocio o especificaciones de fabricante. Generalmente se usan en conjunto con los planes de mantenimiento preventivo. Se puede asociar de manera diferenciada hojas de ruta para cada equipo o ubicación técnica; sin embargo también es posible asignar una hoja de ruta genérica va varios equipos y ubicaciones técnicas.
Se describe la estrategia y frecuencia sobre la cual se crearán las peticiones de mantenimiento. Se indican diferentes horizontes que permiten anticipar la creación de las OM. Asímismo se tiene una visión de corto y mediano plazo donde se puede evidenciar en adelanto o atraso de mantenimientos en base a la situación actual de las OM y documentos de medición.
Se describe el flujo de proceso desde que se genera una OM preventiva hasta la culminación de todas sus actividades. Está basado en la OM que sirve para controlar las operaciones desde el punto de vista de la logística, compras y costos.</v>
      </c>
      <c r="G50" s="64" t="str">
        <f>+VLOOKUP(A50,S0!$C$2:$I$89,5)</f>
        <v>Planes de mantenimiento basados en tiempo.
Planes de mantenimiento basados en actividad.</v>
      </c>
      <c r="H50" s="64">
        <f>+VLOOKUP(A50,S0!$C$2:$I$89,6)</f>
        <v>0</v>
      </c>
      <c r="I50" s="46" t="s">
        <v>95</v>
      </c>
      <c r="J50" s="46" t="s">
        <v>87</v>
      </c>
      <c r="K50" s="99"/>
      <c r="L50" s="77">
        <f>+(VLOOKUP($A50,S0!$C$2:$Y$89,18)/8 * VLOOKUP($I50,Atributos!$A$28:$B$31,2) * VLOOKUP($J50,Atributos!$A$22:$B$25,2))/5</f>
        <v>0</v>
      </c>
      <c r="M50" s="37">
        <f>+(VLOOKUP($A50,S0!$C$2:$Y$89,19)/8 * VLOOKUP($I50,Atributos!$A$28:$B73,2) * VLOOKUP($J50,Atributos!$A$22:$B67,2))/5</f>
        <v>0.5</v>
      </c>
      <c r="N50" s="43">
        <f>+VLOOKUP($A50,S0!$C$2:$Y$89,20)/8 * VLOOKUP($I50,Atributos!$A$28:$B$31,2) * VLOOKUP($J50,Atributos!$A$22:$B$25,2)/5</f>
        <v>0</v>
      </c>
      <c r="O50" s="43">
        <f>+VLOOKUP($A50,S0!$C$2:$Y$89,21)/8 * VLOOKUP($I50,Atributos!$A$28:$B$31,2) * VLOOKUP($J50,Atributos!$A$22:$B$25,2)/5</f>
        <v>0</v>
      </c>
      <c r="P50" s="43">
        <f>+VLOOKUP($A50,S0!$C$2:$Y$89,22)/8 * VLOOKUP($I50,Atributos!$A$28:$B$31,2) * VLOOKUP($J50,Atributos!$A$22:$B$25,2)/5</f>
        <v>0</v>
      </c>
      <c r="Q50" s="43">
        <f>+VLOOKUP($A50,S0!$C$2:$Y$89,23)/8 * VLOOKUP($I50,Atributos!$A$28:$B$31,2) * VLOOKUP($J50,Atributos!$A$22:$B$25,2)/5</f>
        <v>0</v>
      </c>
      <c r="R50" s="43">
        <f t="shared" si="9"/>
        <v>0.5</v>
      </c>
      <c r="S50" s="43">
        <f>+(VLOOKUP($A50,S0!$C$2:$Y$89,19)/8 * VLOOKUP($I50,Atributos!$A$28:$B$31,2) * VLOOKUP($J50,Atributos!$G$22:$H$25,2))/5</f>
        <v>0</v>
      </c>
      <c r="T50" s="43">
        <f>+VLOOKUP($A50,S0!$C$2:$Y$89,20)/8 * VLOOKUP($I50,Atributos!$A$28:$B$31,2) * VLOOKUP($J50,Atributos!$G$22:$H$25,2)/5</f>
        <v>0</v>
      </c>
      <c r="U50" s="43">
        <f>+VLOOKUP($A50,S0!$C$2:$Y$89,21)/8 * VLOOKUP($I50,Atributos!$A$28:$B$31,2) * VLOOKUP($J50,Atributos!$G$22:$H$25,2)/5</f>
        <v>0</v>
      </c>
      <c r="V50" s="43">
        <f>+VLOOKUP($A50,S0!$C$2:$Y$89,22)/8 * VLOOKUP($I50,Atributos!$A$28:$B$31,2) * VLOOKUP($J50,Atributos!$G$22:$H$25,2)/5</f>
        <v>0</v>
      </c>
      <c r="W50" s="43">
        <f>+VLOOKUP($A50,S0!$C$2:$Y$89,23)/8 * VLOOKUP($I50,Atributos!$A$28:$B$31,2) * VLOOKUP($J50,Atributos!$G$22:$H$25,2)/5</f>
        <v>0</v>
      </c>
      <c r="X50" s="43">
        <f t="shared" si="8"/>
        <v>0</v>
      </c>
      <c r="Y50" s="87">
        <f t="shared" si="10"/>
        <v>0.25</v>
      </c>
      <c r="Z50" s="87">
        <f t="shared" si="11"/>
        <v>0</v>
      </c>
      <c r="AA50" s="87">
        <f t="shared" si="12"/>
        <v>0</v>
      </c>
      <c r="AB50" s="87">
        <f t="shared" si="13"/>
        <v>0</v>
      </c>
      <c r="AC50" s="87">
        <f t="shared" si="14"/>
        <v>0</v>
      </c>
      <c r="AD50" s="87">
        <f t="shared" si="6"/>
        <v>0.25</v>
      </c>
    </row>
    <row r="51" spans="1:30" ht="45" x14ac:dyDescent="0.25">
      <c r="A51" s="36" t="s">
        <v>397</v>
      </c>
      <c r="B51" s="63" t="str">
        <f>+VLOOKUP(A51,S0!$C$2:$I$89,7)</f>
        <v>PP</v>
      </c>
      <c r="C51" s="114" t="s">
        <v>711</v>
      </c>
      <c r="D51" s="62" t="s">
        <v>709</v>
      </c>
      <c r="E51" s="64" t="str">
        <f>+VLOOKUP(A51,S0!$C$2:$I$89,3)</f>
        <v>NA</v>
      </c>
      <c r="F51" s="64" t="str">
        <f>+VLOOKUP(A51,S0!$C$2:$I$89,4)</f>
        <v>Define las áreas de planificación en caso se plantee la planificación separada de almacenes</v>
      </c>
      <c r="G51" s="64">
        <f>+VLOOKUP(A51,S0!$C$2:$I$89,5)</f>
        <v>0</v>
      </c>
      <c r="H51" s="64">
        <f>+VLOOKUP(A51,S0!$C$2:$I$89,6)</f>
        <v>0</v>
      </c>
      <c r="I51" s="46" t="s">
        <v>95</v>
      </c>
      <c r="J51" s="46" t="s">
        <v>87</v>
      </c>
      <c r="K51" s="99"/>
      <c r="L51" s="77">
        <f>+(VLOOKUP($A51,S0!$C$2:$Y$89,18)/8 * VLOOKUP($I51,Atributos!$A$28:$B$31,2) * VLOOKUP($J51,Atributos!$A$22:$B$25,2))/5</f>
        <v>0</v>
      </c>
      <c r="M51" s="37">
        <f>+(VLOOKUP($A51,S0!$C$2:$Y$89,19)/8 * VLOOKUP($I51,Atributos!$A$28:$B74,2) * VLOOKUP($J51,Atributos!$A$22:$B68,2))/5</f>
        <v>0.25</v>
      </c>
      <c r="N51" s="43">
        <f>+VLOOKUP($A51,S0!$C$2:$Y$89,20)/8 * VLOOKUP($I51,Atributos!$A$28:$B$31,2) * VLOOKUP($J51,Atributos!$A$22:$B$25,2)/5</f>
        <v>0</v>
      </c>
      <c r="O51" s="43">
        <f>+VLOOKUP($A51,S0!$C$2:$Y$89,21)/8 * VLOOKUP($I51,Atributos!$A$28:$B$31,2) * VLOOKUP($J51,Atributos!$A$22:$B$25,2)/5</f>
        <v>0</v>
      </c>
      <c r="P51" s="43">
        <f>+VLOOKUP($A51,S0!$C$2:$Y$89,22)/8 * VLOOKUP($I51,Atributos!$A$28:$B$31,2) * VLOOKUP($J51,Atributos!$A$22:$B$25,2)/5</f>
        <v>0</v>
      </c>
      <c r="Q51" s="43">
        <f>+VLOOKUP($A51,S0!$C$2:$Y$89,23)/8 * VLOOKUP($I51,Atributos!$A$28:$B$31,2) * VLOOKUP($J51,Atributos!$A$22:$B$25,2)/5</f>
        <v>0</v>
      </c>
      <c r="R51" s="43">
        <f t="shared" si="9"/>
        <v>0.25</v>
      </c>
      <c r="S51" s="43">
        <f>+(VLOOKUP($A51,S0!$C$2:$Y$89,19)/8 * VLOOKUP($I51,Atributos!$A$28:$B$31,2) * VLOOKUP($J51,Atributos!$G$22:$H$25,2))/5</f>
        <v>0</v>
      </c>
      <c r="T51" s="43">
        <f>+VLOOKUP($A51,S0!$C$2:$Y$89,20)/8 * VLOOKUP($I51,Atributos!$A$28:$B$31,2) * VLOOKUP($J51,Atributos!$G$22:$H$25,2)/5</f>
        <v>0</v>
      </c>
      <c r="U51" s="43">
        <f>+VLOOKUP($A51,S0!$C$2:$Y$89,21)/8 * VLOOKUP($I51,Atributos!$A$28:$B$31,2) * VLOOKUP($J51,Atributos!$G$22:$H$25,2)/5</f>
        <v>0</v>
      </c>
      <c r="V51" s="43">
        <f>+VLOOKUP($A51,S0!$C$2:$Y$89,22)/8 * VLOOKUP($I51,Atributos!$A$28:$B$31,2) * VLOOKUP($J51,Atributos!$G$22:$H$25,2)/5</f>
        <v>0</v>
      </c>
      <c r="W51" s="43">
        <f>+VLOOKUP($A51,S0!$C$2:$Y$89,23)/8 * VLOOKUP($I51,Atributos!$A$28:$B$31,2) * VLOOKUP($J51,Atributos!$G$22:$H$25,2)/5</f>
        <v>0</v>
      </c>
      <c r="X51" s="43">
        <f t="shared" si="8"/>
        <v>0</v>
      </c>
      <c r="Y51" s="87">
        <f t="shared" si="10"/>
        <v>0.125</v>
      </c>
      <c r="Z51" s="87">
        <f t="shared" si="11"/>
        <v>0</v>
      </c>
      <c r="AA51" s="87">
        <f t="shared" si="12"/>
        <v>0</v>
      </c>
      <c r="AB51" s="87">
        <f t="shared" si="13"/>
        <v>0</v>
      </c>
      <c r="AC51" s="87">
        <f t="shared" si="14"/>
        <v>0</v>
      </c>
      <c r="AD51" s="87">
        <f t="shared" si="6"/>
        <v>0.125</v>
      </c>
    </row>
    <row r="52" spans="1:30" ht="75" x14ac:dyDescent="0.25">
      <c r="A52" s="36" t="s">
        <v>400</v>
      </c>
      <c r="B52" s="63" t="str">
        <f>+VLOOKUP(A52,S0!$C$2:$I$89,7)</f>
        <v>PP</v>
      </c>
      <c r="C52" s="62" t="s">
        <v>712</v>
      </c>
      <c r="D52" s="62" t="s">
        <v>713</v>
      </c>
      <c r="E52" s="64" t="str">
        <f>+VLOOKUP(A52,S0!$C$2:$I$89,3)</f>
        <v>Creación, modificación y visualización de puestos de trabajo</v>
      </c>
      <c r="F52" s="64" t="str">
        <f>+VLOOKUP(A52,S0!$C$2:$I$89,4)</f>
        <v>Definición del uso de los puestos de trabajo en entorno de fabricación discreta o repetitiva. Descripción de las principales vistas para la planificación y programación de capacidades, y definición de los inductores de costos de producción</v>
      </c>
      <c r="G52" s="64">
        <f>+VLOOKUP(A52,S0!$C$2:$I$89,5)</f>
        <v>0</v>
      </c>
      <c r="H52" s="64" t="str">
        <f>+VLOOKUP(A52,S0!$C$2:$I$89,6)</f>
        <v>Se excluye la planificación detallada PPDS.
Se excluye la integración de HR.</v>
      </c>
      <c r="I52" s="46" t="s">
        <v>92</v>
      </c>
      <c r="J52" s="46" t="s">
        <v>87</v>
      </c>
      <c r="K52" s="99"/>
      <c r="L52" s="77">
        <f>+(VLOOKUP($A52,S0!$C$2:$Y$89,18)/8 * VLOOKUP($I52,Atributos!$A$28:$B$31,2) * VLOOKUP($J52,Atributos!$A$22:$B$25,2))/5</f>
        <v>3.7499999999999999E-2</v>
      </c>
      <c r="M52" s="37">
        <f>+(VLOOKUP($A52,S0!$C$2:$Y$89,19)/8 * VLOOKUP($I52,Atributos!$A$28:$B75,2) * VLOOKUP($J52,Atributos!$A$22:$B69,2))/5</f>
        <v>0.1</v>
      </c>
      <c r="N52" s="43">
        <f>+VLOOKUP($A52,S0!$C$2:$Y$89,20)/8 * VLOOKUP($I52,Atributos!$A$28:$B$31,2) * VLOOKUP($J52,Atributos!$A$22:$B$25,2)/5</f>
        <v>0.3</v>
      </c>
      <c r="O52" s="43">
        <f>+VLOOKUP($A52,S0!$C$2:$Y$89,21)/8 * VLOOKUP($I52,Atributos!$A$28:$B$31,2) * VLOOKUP($J52,Atributos!$A$22:$B$25,2)/5</f>
        <v>0.3</v>
      </c>
      <c r="P52" s="43">
        <f>+VLOOKUP($A52,S0!$C$2:$Y$89,22)/8 * VLOOKUP($I52,Atributos!$A$28:$B$31,2) * VLOOKUP($J52,Atributos!$A$22:$B$25,2)/5</f>
        <v>0.3</v>
      </c>
      <c r="Q52" s="43">
        <f>+VLOOKUP($A52,S0!$C$2:$Y$89,23)/8 * VLOOKUP($I52,Atributos!$A$28:$B$31,2) * VLOOKUP($J52,Atributos!$A$22:$B$25,2)/5</f>
        <v>0</v>
      </c>
      <c r="R52" s="43">
        <f t="shared" si="9"/>
        <v>1</v>
      </c>
      <c r="S52" s="43">
        <f>+(VLOOKUP($A52,S0!$C$2:$Y$89,19)/8 * VLOOKUP($I52,Atributos!$A$28:$B$31,2) * VLOOKUP($J52,Atributos!$G$22:$H$25,2))/5</f>
        <v>2.5000000000000001E-2</v>
      </c>
      <c r="T52" s="43">
        <f>+VLOOKUP($A52,S0!$C$2:$Y$89,20)/8 * VLOOKUP($I52,Atributos!$A$28:$B$31,2) * VLOOKUP($J52,Atributos!$G$22:$H$25,2)/5</f>
        <v>0.2</v>
      </c>
      <c r="U52" s="43">
        <f>+VLOOKUP($A52,S0!$C$2:$Y$89,21)/8 * VLOOKUP($I52,Atributos!$A$28:$B$31,2) * VLOOKUP($J52,Atributos!$G$22:$H$25,2)/5</f>
        <v>0.2</v>
      </c>
      <c r="V52" s="43">
        <f>+VLOOKUP($A52,S0!$C$2:$Y$89,22)/8 * VLOOKUP($I52,Atributos!$A$28:$B$31,2) * VLOOKUP($J52,Atributos!$G$22:$H$25,2)/5</f>
        <v>0.2</v>
      </c>
      <c r="W52" s="43">
        <f>+VLOOKUP($A52,S0!$C$2:$Y$89,23)/8 * VLOOKUP($I52,Atributos!$A$28:$B$31,2) * VLOOKUP($J52,Atributos!$G$22:$H$25,2)/5</f>
        <v>0</v>
      </c>
      <c r="X52" s="43">
        <f t="shared" si="8"/>
        <v>0.625</v>
      </c>
      <c r="Y52" s="87">
        <f t="shared" si="10"/>
        <v>6.25E-2</v>
      </c>
      <c r="Z52" s="87">
        <f t="shared" si="11"/>
        <v>0.25</v>
      </c>
      <c r="AA52" s="87">
        <f t="shared" si="12"/>
        <v>0.25</v>
      </c>
      <c r="AB52" s="87">
        <f t="shared" si="13"/>
        <v>0.25</v>
      </c>
      <c r="AC52" s="87">
        <f t="shared" si="14"/>
        <v>0</v>
      </c>
      <c r="AD52" s="87">
        <f t="shared" si="6"/>
        <v>0.8125</v>
      </c>
    </row>
    <row r="53" spans="1:30" ht="180" x14ac:dyDescent="0.25">
      <c r="A53" s="36" t="s">
        <v>408</v>
      </c>
      <c r="B53" s="63" t="str">
        <f>+VLOOKUP(A53,S0!$C$2:$I$89,7)</f>
        <v>PP</v>
      </c>
      <c r="C53" s="62" t="s">
        <v>722</v>
      </c>
      <c r="D53" s="62"/>
      <c r="E53" s="64" t="str">
        <f>+VLOOKUP(A53,S0!$C$2:$I$89,3)</f>
        <v>Creación de demanda. Creación de órdenes previsionales. Fijación de órdenes previsionales. Conversión de órdenes previsionales.</v>
      </c>
      <c r="F53" s="64" t="str">
        <f>+VLOOKUP(A53,S0!$C$2:$I$89,4)</f>
        <v>Definición del proceso de planificación basado en MRP Live. Parte de la creación de las estimaciones o necesidades primaria planificadas a nivel de centro y SKU entendida como demanda restringida. Ejecución de MRP Live para que se propongan las órdenes previsionales y se carguen los puestos de trabajo o recursos con necesidades de capacidad. Se analizan los recursos críticos para priorizar las órdenes a realizarse. Se fijan las órdenes previsionales para evitar que se modificquen con un nuevo proceso MRP Live. Finalmente se convierten en órdenes de faricación o proceso que se entregan a planta para su ejecución.</v>
      </c>
      <c r="G53" s="64" t="str">
        <f>+VLOOKUP(A53,S0!$C$2:$I$89,5)</f>
        <v>Stock de seguridad estático y dinámico.
Procesos masivos e individuales.
Tamaños de lote exactos y fijos con redondeos.
Cálculo de rechazo de conjunto y componente.</v>
      </c>
      <c r="H53" s="64" t="str">
        <f>+VLOOKUP(A53,S0!$C$2:$I$89,6)</f>
        <v>No incluye estrategias MTO.
No incluye optimización de la planificación.
No incluye secuenciación PP/DS
No incluye DD-MRP
No incluye MRP predictivo</v>
      </c>
      <c r="I53" s="46" t="s">
        <v>92</v>
      </c>
      <c r="J53" s="46" t="s">
        <v>88</v>
      </c>
      <c r="K53" s="99" t="s">
        <v>626</v>
      </c>
      <c r="L53" s="77">
        <f>+(VLOOKUP($A53,S0!$C$2:$Y$89,18)/8 * VLOOKUP($I53,Atributos!$A$28:$B$31,2) * VLOOKUP($J53,Atributos!$A$22:$B$25,2))/5</f>
        <v>5.6250000000000001E-2</v>
      </c>
      <c r="M53" s="37">
        <f>+(VLOOKUP($A53,S0!$C$2:$Y$89,19)/8 * VLOOKUP($I53,Atributos!$A$28:$B76,2) * VLOOKUP($J53,Atributos!$A$22:$B70,2))/5</f>
        <v>0</v>
      </c>
      <c r="N53" s="43">
        <f>+VLOOKUP($A53,S0!$C$2:$Y$89,20)/8 * VLOOKUP($I53,Atributos!$A$28:$B$31,2) * VLOOKUP($J53,Atributos!$A$22:$B$25,2)/5</f>
        <v>0.9</v>
      </c>
      <c r="O53" s="43">
        <f>+VLOOKUP($A53,S0!$C$2:$Y$89,21)/8 * VLOOKUP($I53,Atributos!$A$28:$B$31,2) * VLOOKUP($J53,Atributos!$A$22:$B$25,2)/5</f>
        <v>1.8</v>
      </c>
      <c r="P53" s="43">
        <f>+VLOOKUP($A53,S0!$C$2:$Y$89,22)/8 * VLOOKUP($I53,Atributos!$A$28:$B$31,2) * VLOOKUP($J53,Atributos!$A$22:$B$25,2)/5</f>
        <v>0.45</v>
      </c>
      <c r="Q53" s="43">
        <f>+VLOOKUP($A53,S0!$C$2:$Y$89,23)/8 * VLOOKUP($I53,Atributos!$A$28:$B$31,2) * VLOOKUP($J53,Atributos!$A$22:$B$25,2)/5</f>
        <v>0.45</v>
      </c>
      <c r="R53" s="43">
        <f t="shared" si="9"/>
        <v>3.1500000000000004</v>
      </c>
      <c r="S53" s="43">
        <f>+(VLOOKUP($A53,S0!$C$2:$Y$89,19)/8 * VLOOKUP($I53,Atributos!$A$28:$B$31,2) * VLOOKUP($J53,Atributos!$G$22:$H$25,2))/5</f>
        <v>7.4999999999999997E-2</v>
      </c>
      <c r="T53" s="43">
        <f>+VLOOKUP($A53,S0!$C$2:$Y$89,20)/8 * VLOOKUP($I53,Atributos!$A$28:$B$31,2) * VLOOKUP($J53,Atributos!$G$22:$H$25,2)/5</f>
        <v>0.6</v>
      </c>
      <c r="U53" s="43">
        <f>+VLOOKUP($A53,S0!$C$2:$Y$89,21)/8 * VLOOKUP($I53,Atributos!$A$28:$B$31,2) * VLOOKUP($J53,Atributos!$G$22:$H$25,2)/5</f>
        <v>1.2</v>
      </c>
      <c r="V53" s="43">
        <f>+VLOOKUP($A53,S0!$C$2:$Y$89,22)/8 * VLOOKUP($I53,Atributos!$A$28:$B$31,2) * VLOOKUP($J53,Atributos!$G$22:$H$25,2)/5</f>
        <v>0.3</v>
      </c>
      <c r="W53" s="43">
        <f>+VLOOKUP($A53,S0!$C$2:$Y$89,23)/8 * VLOOKUP($I53,Atributos!$A$28:$B$31,2) * VLOOKUP($J53,Atributos!$G$22:$H$25,2)/5</f>
        <v>0.3</v>
      </c>
      <c r="X53" s="43">
        <f t="shared" si="8"/>
        <v>2.1749999999999998</v>
      </c>
      <c r="Y53" s="87">
        <f t="shared" si="10"/>
        <v>3.7499999999999999E-2</v>
      </c>
      <c r="Z53" s="87">
        <f t="shared" si="11"/>
        <v>0.75</v>
      </c>
      <c r="AA53" s="87">
        <f t="shared" si="12"/>
        <v>1.5</v>
      </c>
      <c r="AB53" s="87">
        <f t="shared" si="13"/>
        <v>0.375</v>
      </c>
      <c r="AC53" s="87">
        <f t="shared" si="14"/>
        <v>0.375</v>
      </c>
      <c r="AD53" s="87">
        <f t="shared" si="6"/>
        <v>2.6625000000000001</v>
      </c>
    </row>
    <row r="54" spans="1:30" ht="105" x14ac:dyDescent="0.25">
      <c r="A54" s="36" t="s">
        <v>414</v>
      </c>
      <c r="B54" s="63" t="str">
        <f>+VLOOKUP(A54,S0!$C$2:$I$89,7)</f>
        <v>PP</v>
      </c>
      <c r="C54" s="62" t="s">
        <v>741</v>
      </c>
      <c r="D54" s="62"/>
      <c r="E54" s="64" t="str">
        <f>+VLOOKUP(A54,S0!$C$2:$I$89,3)</f>
        <v>Revisiónde cuellos de botella.
Análisis de utilización de los recursos: Sobre cargas y subutilización.</v>
      </c>
      <c r="F54" s="64" t="str">
        <f>+VLOOKUP(A54,S0!$C$2:$I$89,4)</f>
        <v>Luego del proceso MRP Live, se evaluan los recursos o puestos de trabajo críticos. Se priorizan las órdenes que deben atenderse. Se busca tener una utilización adecuada, el planificador de capacidad debe asignar adecuadamente las órdenes coordinando continuamente con planificación, planta y mantenimiento la disponibilidad de los recursos.</v>
      </c>
      <c r="G54" s="64">
        <f>+VLOOKUP(A54,S0!$C$2:$I$89,5)</f>
        <v>0</v>
      </c>
      <c r="H54" s="64">
        <f>+VLOOKUP(A54,S0!$C$2:$I$89,6)</f>
        <v>0</v>
      </c>
      <c r="I54" s="46" t="s">
        <v>95</v>
      </c>
      <c r="J54" s="46" t="s">
        <v>87</v>
      </c>
      <c r="K54" s="99"/>
      <c r="L54" s="77">
        <f>+(VLOOKUP($A54,S0!$C$2:$Y$89,18)/8 * VLOOKUP($I54,Atributos!$A$28:$B$31,2) * VLOOKUP($J54,Atributos!$A$22:$B$25,2))/5</f>
        <v>0</v>
      </c>
      <c r="M54" s="37">
        <f>+(VLOOKUP($A54,S0!$C$2:$Y$89,19)/8 * VLOOKUP($I54,Atributos!$A$28:$B77,2) * VLOOKUP($J54,Atributos!$A$22:$B71,2))/5</f>
        <v>0.5</v>
      </c>
      <c r="N54" s="43">
        <f>+VLOOKUP($A54,S0!$C$2:$Y$89,20)/8 * VLOOKUP($I54,Atributos!$A$28:$B$31,2) * VLOOKUP($J54,Atributos!$A$22:$B$25,2)/5</f>
        <v>0</v>
      </c>
      <c r="O54" s="43">
        <f>+VLOOKUP($A54,S0!$C$2:$Y$89,21)/8 * VLOOKUP($I54,Atributos!$A$28:$B$31,2) * VLOOKUP($J54,Atributos!$A$22:$B$25,2)/5</f>
        <v>0</v>
      </c>
      <c r="P54" s="43">
        <f>+VLOOKUP($A54,S0!$C$2:$Y$89,22)/8 * VLOOKUP($I54,Atributos!$A$28:$B$31,2) * VLOOKUP($J54,Atributos!$A$22:$B$25,2)/5</f>
        <v>0</v>
      </c>
      <c r="Q54" s="43">
        <f>+VLOOKUP($A54,S0!$C$2:$Y$89,23)/8 * VLOOKUP($I54,Atributos!$A$28:$B$31,2) * VLOOKUP($J54,Atributos!$A$22:$B$25,2)/5</f>
        <v>0</v>
      </c>
      <c r="R54" s="43">
        <f t="shared" si="9"/>
        <v>0.5</v>
      </c>
      <c r="S54" s="43">
        <f>+(VLOOKUP($A54,S0!$C$2:$Y$89,19)/8 * VLOOKUP($I54,Atributos!$A$28:$B$31,2) * VLOOKUP($J54,Atributos!$G$22:$H$25,2))/5</f>
        <v>0</v>
      </c>
      <c r="T54" s="43">
        <f>+VLOOKUP($A54,S0!$C$2:$Y$89,20)/8 * VLOOKUP($I54,Atributos!$A$28:$B$31,2) * VLOOKUP($J54,Atributos!$G$22:$H$25,2)/5</f>
        <v>0</v>
      </c>
      <c r="U54" s="43">
        <f>+VLOOKUP($A54,S0!$C$2:$Y$89,21)/8 * VLOOKUP($I54,Atributos!$A$28:$B$31,2) * VLOOKUP($J54,Atributos!$G$22:$H$25,2)/5</f>
        <v>0</v>
      </c>
      <c r="V54" s="43">
        <f>+VLOOKUP($A54,S0!$C$2:$Y$89,22)/8 * VLOOKUP($I54,Atributos!$A$28:$B$31,2) * VLOOKUP($J54,Atributos!$G$22:$H$25,2)/5</f>
        <v>0</v>
      </c>
      <c r="W54" s="43">
        <f>+VLOOKUP($A54,S0!$C$2:$Y$89,23)/8 * VLOOKUP($I54,Atributos!$A$28:$B$31,2) * VLOOKUP($J54,Atributos!$G$22:$H$25,2)/5</f>
        <v>0</v>
      </c>
      <c r="X54" s="43">
        <f t="shared" si="8"/>
        <v>0</v>
      </c>
      <c r="Y54" s="87">
        <f t="shared" si="10"/>
        <v>0.25</v>
      </c>
      <c r="Z54" s="87">
        <f t="shared" si="11"/>
        <v>0</v>
      </c>
      <c r="AA54" s="87">
        <f t="shared" si="12"/>
        <v>0</v>
      </c>
      <c r="AB54" s="87">
        <f t="shared" si="13"/>
        <v>0</v>
      </c>
      <c r="AC54" s="87">
        <f t="shared" si="14"/>
        <v>0</v>
      </c>
      <c r="AD54" s="87">
        <f t="shared" si="6"/>
        <v>0.25</v>
      </c>
    </row>
    <row r="55" spans="1:30" ht="285" x14ac:dyDescent="0.25">
      <c r="A55" s="40" t="s">
        <v>418</v>
      </c>
      <c r="B55" s="63" t="str">
        <f>+VLOOKUP(A55,S0!$C$2:$I$89,7)</f>
        <v>PP</v>
      </c>
      <c r="C55" s="117" t="s">
        <v>419</v>
      </c>
      <c r="D55" s="62" t="s">
        <v>738</v>
      </c>
      <c r="E55" s="64" t="str">
        <f>+VLOOKUP(A55,S0!$C$2:$I$89,3)</f>
        <v>Definición del método planificación de necesidades 
Verificación / Actualización de datos maestros de planificación
Ejecución de planificación
Verificación de propuesta de abastecimiento
Asignación de fuente de aprovisionamiento
Creación de pedido de compra
Reportes</v>
      </c>
      <c r="F55" s="64" t="str">
        <f>+VLOOKUP(A55,S0!$C$2:$I$89,4)</f>
        <v>La Planif. De Necesidades corresponde a la funcionalidad que brinda SAP para garantizar la disponibilidad del material; es decir que, se emplea para el aprovisionamiento o la fabricación de las cantidades en el momento oportuno, tanto para necesidades internas como para los requerimientos del área Comercial. Este proceso implica el mantenimiento de datos maestros consistentes, la supervisión de stocks y la propuesta automática del aprovisionamiento para compras y/o producción bajo el análisis del planner de la empresa.</v>
      </c>
      <c r="G55" s="64" t="str">
        <f>+VLOOKUP(A55,S0!$C$2:$I$89,5)</f>
        <v>Planificación por punto de pedido(VB):
- Con stock de seguridad estático.
- Tamaño de lote hasta stock máximo.
Planificación determinista para compras(PD,P1,PE,P3,P4):
- Con lotes exactos con redondeo y SS estático.
Planificación determinista para traslados(PD,P1,P2,P3,P4):
- Con lotes fijos sin stock de seguridad.</v>
      </c>
      <c r="H55" s="64" t="str">
        <f>+VLOOKUP(A55,S0!$C$2:$I$89,6)</f>
        <v xml:space="preserve">Se excluye otro tipo de: Planificación, stock de seguridad, y tamaño de lote.  
</v>
      </c>
      <c r="I55" s="46" t="s">
        <v>92</v>
      </c>
      <c r="J55" s="46" t="s">
        <v>87</v>
      </c>
      <c r="K55" s="99"/>
      <c r="L55" s="77">
        <f>+(VLOOKUP($A55,S0!$C$2:$Y$89,18)/8 * VLOOKUP($I55,Atributos!$A$28:$B$31,2) * VLOOKUP($J55,Atributos!$A$22:$B$25,2))/5</f>
        <v>3.7499999999999999E-2</v>
      </c>
      <c r="M55" s="37">
        <f>+(VLOOKUP($A55,S0!$C$2:$Y$89,19)/8 * VLOOKUP($I55,Atributos!$A$28:$B78,2) * VLOOKUP($J55,Atributos!$A$22:$B72,2))/5</f>
        <v>0.2</v>
      </c>
      <c r="N55" s="43">
        <f>+VLOOKUP($A55,S0!$C$2:$Y$89,20)/8 * VLOOKUP($I55,Atributos!$A$28:$B$31,2) * VLOOKUP($J55,Atributos!$A$22:$B$25,2)/5</f>
        <v>0.6</v>
      </c>
      <c r="O55" s="43">
        <f>+VLOOKUP($A55,S0!$C$2:$Y$89,21)/8 * VLOOKUP($I55,Atributos!$A$28:$B$31,2) * VLOOKUP($J55,Atributos!$A$22:$B$25,2)/5</f>
        <v>1.2</v>
      </c>
      <c r="P55" s="43">
        <f>+VLOOKUP($A55,S0!$C$2:$Y$89,22)/8 * VLOOKUP($I55,Atributos!$A$28:$B$31,2) * VLOOKUP($J55,Atributos!$A$22:$B$25,2)/5</f>
        <v>0.3</v>
      </c>
      <c r="Q55" s="43">
        <f>+VLOOKUP($A55,S0!$C$2:$Y$89,23)/8 * VLOOKUP($I55,Atributos!$A$28:$B$31,2) * VLOOKUP($J55,Atributos!$A$22:$B$25,2)/5</f>
        <v>0.3</v>
      </c>
      <c r="R55" s="43">
        <f t="shared" si="9"/>
        <v>2.2999999999999998</v>
      </c>
      <c r="S55" s="43">
        <f>+(VLOOKUP($A55,S0!$C$2:$Y$89,19)/8 * VLOOKUP($I55,Atributos!$A$28:$B$31,2) * VLOOKUP($J55,Atributos!$G$22:$H$25,2))/5</f>
        <v>0.05</v>
      </c>
      <c r="T55" s="43">
        <f>+VLOOKUP($A55,S0!$C$2:$Y$89,20)/8 * VLOOKUP($I55,Atributos!$A$28:$B$31,2) * VLOOKUP($J55,Atributos!$G$22:$H$25,2)/5</f>
        <v>0.4</v>
      </c>
      <c r="U55" s="43">
        <f>+VLOOKUP($A55,S0!$C$2:$Y$89,21)/8 * VLOOKUP($I55,Atributos!$A$28:$B$31,2) * VLOOKUP($J55,Atributos!$G$22:$H$25,2)/5</f>
        <v>0.8</v>
      </c>
      <c r="V55" s="43">
        <f>+VLOOKUP($A55,S0!$C$2:$Y$89,22)/8 * VLOOKUP($I55,Atributos!$A$28:$B$31,2) * VLOOKUP($J55,Atributos!$G$22:$H$25,2)/5</f>
        <v>0.2</v>
      </c>
      <c r="W55" s="43">
        <f>+VLOOKUP($A55,S0!$C$2:$Y$89,23)/8 * VLOOKUP($I55,Atributos!$A$28:$B$31,2) * VLOOKUP($J55,Atributos!$G$22:$H$25,2)/5</f>
        <v>0.2</v>
      </c>
      <c r="X55" s="43">
        <f t="shared" si="8"/>
        <v>1.45</v>
      </c>
      <c r="Y55" s="87">
        <f t="shared" si="10"/>
        <v>0.125</v>
      </c>
      <c r="Z55" s="87">
        <f t="shared" si="11"/>
        <v>0.5</v>
      </c>
      <c r="AA55" s="87">
        <f t="shared" si="12"/>
        <v>1</v>
      </c>
      <c r="AB55" s="87">
        <f t="shared" si="13"/>
        <v>0.25</v>
      </c>
      <c r="AC55" s="87">
        <f t="shared" si="14"/>
        <v>0.25</v>
      </c>
      <c r="AD55" s="87">
        <f t="shared" si="6"/>
        <v>1.875</v>
      </c>
    </row>
    <row r="56" spans="1:30" ht="75" x14ac:dyDescent="0.25">
      <c r="A56" s="36" t="s">
        <v>424</v>
      </c>
      <c r="B56" s="63" t="str">
        <f>+VLOOKUP(A56,S0!$C$2:$I$89,7)</f>
        <v>PP</v>
      </c>
      <c r="C56" s="62" t="s">
        <v>739</v>
      </c>
      <c r="D56" s="62"/>
      <c r="E56" s="64" t="str">
        <f>+VLOOKUP(A56,S0!$C$2:$I$89,3)</f>
        <v>Creación de proyecciones de escenarios hipotéticos. Ejecución de pMRP. Análisis de capacidades y cobertura.</v>
      </c>
      <c r="F56" s="64" t="str">
        <f>+VLOOKUP(A56,S0!$C$2:$I$89,4)</f>
        <v>pMRP permite hacer una ejecución del proceso de planificación e2e de manera simulada para analizar escenarios hipotéticos y poder contar con planes de accion de manera anticipada. Dentro del proceso de S&amp;OP sirve para restringir la demanda consensuada.</v>
      </c>
      <c r="G56" s="64">
        <f>+VLOOKUP(A56,S0!$C$2:$I$89,5)</f>
        <v>0</v>
      </c>
      <c r="H56" s="64">
        <f>+VLOOKUP(A56,S0!$C$2:$I$89,6)</f>
        <v>0</v>
      </c>
      <c r="I56" s="46" t="s">
        <v>95</v>
      </c>
      <c r="J56" s="46" t="s">
        <v>87</v>
      </c>
      <c r="K56" s="99"/>
      <c r="L56" s="77">
        <f>+(VLOOKUP($A56,S0!$C$2:$Y$89,18)/8 * VLOOKUP($I56,Atributos!$A$28:$B$31,2) * VLOOKUP($J56,Atributos!$A$22:$B$25,2))/5</f>
        <v>0</v>
      </c>
      <c r="M56" s="37">
        <f>+(VLOOKUP($A56,S0!$C$2:$Y$89,19)/8 * VLOOKUP($I56,Atributos!$A$28:$B79,2) * VLOOKUP($J56,Atributos!$A$22:$B73,2))/5</f>
        <v>0</v>
      </c>
      <c r="N56" s="43">
        <f>+VLOOKUP($A56,S0!$C$2:$Y$89,20)/8 * VLOOKUP($I56,Atributos!$A$28:$B$31,2) * VLOOKUP($J56,Atributos!$A$22:$B$25,2)/5</f>
        <v>0</v>
      </c>
      <c r="O56" s="43">
        <f>+VLOOKUP($A56,S0!$C$2:$Y$89,21)/8 * VLOOKUP($I56,Atributos!$A$28:$B$31,2) * VLOOKUP($J56,Atributos!$A$22:$B$25,2)/5</f>
        <v>0</v>
      </c>
      <c r="P56" s="43">
        <f>+VLOOKUP($A56,S0!$C$2:$Y$89,22)/8 * VLOOKUP($I56,Atributos!$A$28:$B$31,2) * VLOOKUP($J56,Atributos!$A$22:$B$25,2)/5</f>
        <v>0</v>
      </c>
      <c r="Q56" s="43">
        <f>+VLOOKUP($A56,S0!$C$2:$Y$89,23)/8 * VLOOKUP($I56,Atributos!$A$28:$B$31,2) * VLOOKUP($J56,Atributos!$A$22:$B$25,2)/5</f>
        <v>0</v>
      </c>
      <c r="R56" s="43">
        <f t="shared" si="9"/>
        <v>0</v>
      </c>
      <c r="S56" s="43">
        <f>+(VLOOKUP($A56,S0!$C$2:$Y$89,19)/8 * VLOOKUP($I56,Atributos!$A$28:$B$31,2) * VLOOKUP($J56,Atributos!$G$22:$H$25,2))/5</f>
        <v>0</v>
      </c>
      <c r="T56" s="43">
        <f>+VLOOKUP($A56,S0!$C$2:$Y$89,20)/8 * VLOOKUP($I56,Atributos!$A$28:$B$31,2) * VLOOKUP($J56,Atributos!$G$22:$H$25,2)/5</f>
        <v>0</v>
      </c>
      <c r="U56" s="43">
        <f>+VLOOKUP($A56,S0!$C$2:$Y$89,21)/8 * VLOOKUP($I56,Atributos!$A$28:$B$31,2) * VLOOKUP($J56,Atributos!$G$22:$H$25,2)/5</f>
        <v>0</v>
      </c>
      <c r="V56" s="43">
        <f>+VLOOKUP($A56,S0!$C$2:$Y$89,22)/8 * VLOOKUP($I56,Atributos!$A$28:$B$31,2) * VLOOKUP($J56,Atributos!$G$22:$H$25,2)/5</f>
        <v>0</v>
      </c>
      <c r="W56" s="43">
        <f>+VLOOKUP($A56,S0!$C$2:$Y$89,23)/8 * VLOOKUP($I56,Atributos!$A$28:$B$31,2) * VLOOKUP($J56,Atributos!$G$22:$H$25,2)/5</f>
        <v>0</v>
      </c>
      <c r="X56" s="43">
        <f t="shared" si="8"/>
        <v>0</v>
      </c>
      <c r="Y56" s="87">
        <f t="shared" si="10"/>
        <v>0</v>
      </c>
      <c r="Z56" s="87">
        <f t="shared" si="11"/>
        <v>0</v>
      </c>
      <c r="AA56" s="87">
        <f t="shared" si="12"/>
        <v>0</v>
      </c>
      <c r="AB56" s="87">
        <f t="shared" si="13"/>
        <v>0</v>
      </c>
      <c r="AC56" s="87">
        <f t="shared" si="14"/>
        <v>0</v>
      </c>
      <c r="AD56" s="87">
        <f t="shared" si="6"/>
        <v>0</v>
      </c>
    </row>
    <row r="57" spans="1:30" ht="180" x14ac:dyDescent="0.25">
      <c r="A57" s="36" t="s">
        <v>428</v>
      </c>
      <c r="B57" s="63" t="str">
        <f>+VLOOKUP(A57,S0!$C$2:$I$89,7)</f>
        <v>PP</v>
      </c>
      <c r="C57" s="62" t="s">
        <v>740</v>
      </c>
      <c r="D57" s="62"/>
      <c r="E57" s="64" t="str">
        <f>+VLOOKUP(A57,S0!$C$2:$I$89,3)</f>
        <v>Clasificación de materiales. Posicionamiento de stock. Propuesta de aprovisionamiento.</v>
      </c>
      <c r="F57" s="64" t="str">
        <f>+VLOOKUP(A57,S0!$C$2:$I$89,4)</f>
        <v>Proceso de planificación orientado a la demanda. Parte de la clasificación de los productos en base a su costo relativo (ABC), variación de consumo (XYZ), leadtime (EFG) uso en lista de materiales (PQR). Posiciona el stock de acuerdo a zonas: Roja(Stock de seguridad), ambar (Punto de pedido) y verde (Stock máximo). Propone la reposición de stock de tal manera que se procura un stock en la zona ambar/verde. Como el comportamiento de un producto varia a lo largo del tiempo, este proceso puede reclasificar fácilmente los productos de manera periódica asegurando siempre un adecuado suministro sin exceso ni ruptura de stock.</v>
      </c>
      <c r="G57" s="64">
        <f>+VLOOKUP(A57,S0!$C$2:$I$89,5)</f>
        <v>0</v>
      </c>
      <c r="H57" s="64">
        <f>+VLOOKUP(A57,S0!$C$2:$I$89,6)</f>
        <v>0</v>
      </c>
      <c r="I57" s="46" t="s">
        <v>95</v>
      </c>
      <c r="J57" s="46" t="s">
        <v>87</v>
      </c>
      <c r="K57" s="99"/>
      <c r="L57" s="77">
        <f>+(VLOOKUP($A57,S0!$C$2:$Y$89,18)/8 * VLOOKUP($I57,Atributos!$A$28:$B$31,2) * VLOOKUP($J57,Atributos!$A$22:$B$25,2))/5</f>
        <v>0</v>
      </c>
      <c r="M57" s="37">
        <f>+(VLOOKUP($A57,S0!$C$2:$Y$89,19)/8 * VLOOKUP($I57,Atributos!$A$28:$B80,2) * VLOOKUP($J57,Atributos!$A$22:$B74,2))/5</f>
        <v>0</v>
      </c>
      <c r="N57" s="43">
        <f>+VLOOKUP($A57,S0!$C$2:$Y$89,20)/8 * VLOOKUP($I57,Atributos!$A$28:$B$31,2) * VLOOKUP($J57,Atributos!$A$22:$B$25,2)/5</f>
        <v>0</v>
      </c>
      <c r="O57" s="43">
        <f>+VLOOKUP($A57,S0!$C$2:$Y$89,21)/8 * VLOOKUP($I57,Atributos!$A$28:$B$31,2) * VLOOKUP($J57,Atributos!$A$22:$B$25,2)/5</f>
        <v>0</v>
      </c>
      <c r="P57" s="43">
        <f>+VLOOKUP($A57,S0!$C$2:$Y$89,22)/8 * VLOOKUP($I57,Atributos!$A$28:$B$31,2) * VLOOKUP($J57,Atributos!$A$22:$B$25,2)/5</f>
        <v>0</v>
      </c>
      <c r="Q57" s="43">
        <f>+VLOOKUP($A57,S0!$C$2:$Y$89,23)/8 * VLOOKUP($I57,Atributos!$A$28:$B$31,2) * VLOOKUP($J57,Atributos!$A$22:$B$25,2)/5</f>
        <v>0</v>
      </c>
      <c r="R57" s="43">
        <f t="shared" si="9"/>
        <v>0</v>
      </c>
      <c r="S57" s="43">
        <f>+(VLOOKUP($A57,S0!$C$2:$Y$89,19)/8 * VLOOKUP($I57,Atributos!$A$28:$B$31,2) * VLOOKUP($J57,Atributos!$G$22:$H$25,2))/5</f>
        <v>0</v>
      </c>
      <c r="T57" s="43">
        <f>+VLOOKUP($A57,S0!$C$2:$Y$89,20)/8 * VLOOKUP($I57,Atributos!$A$28:$B$31,2) * VLOOKUP($J57,Atributos!$G$22:$H$25,2)/5</f>
        <v>0</v>
      </c>
      <c r="U57" s="43">
        <f>+VLOOKUP($A57,S0!$C$2:$Y$89,21)/8 * VLOOKUP($I57,Atributos!$A$28:$B$31,2) * VLOOKUP($J57,Atributos!$G$22:$H$25,2)/5</f>
        <v>0</v>
      </c>
      <c r="V57" s="43">
        <f>+VLOOKUP($A57,S0!$C$2:$Y$89,22)/8 * VLOOKUP($I57,Atributos!$A$28:$B$31,2) * VLOOKUP($J57,Atributos!$G$22:$H$25,2)/5</f>
        <v>0</v>
      </c>
      <c r="W57" s="43">
        <f>+VLOOKUP($A57,S0!$C$2:$Y$89,23)/8 * VLOOKUP($I57,Atributos!$A$28:$B$31,2) * VLOOKUP($J57,Atributos!$G$22:$H$25,2)/5</f>
        <v>0</v>
      </c>
      <c r="X57" s="43">
        <f t="shared" si="8"/>
        <v>0</v>
      </c>
      <c r="Y57" s="87">
        <f t="shared" si="10"/>
        <v>0</v>
      </c>
      <c r="Z57" s="87">
        <f t="shared" si="11"/>
        <v>0</v>
      </c>
      <c r="AA57" s="87">
        <f t="shared" si="12"/>
        <v>0</v>
      </c>
      <c r="AB57" s="87">
        <f t="shared" si="13"/>
        <v>0</v>
      </c>
      <c r="AC57" s="87">
        <f t="shared" si="14"/>
        <v>0</v>
      </c>
      <c r="AD57" s="87">
        <f t="shared" si="6"/>
        <v>0</v>
      </c>
    </row>
    <row r="58" spans="1:30" ht="90" x14ac:dyDescent="0.25">
      <c r="A58" s="36" t="s">
        <v>432</v>
      </c>
      <c r="B58" s="63" t="str">
        <f>+VLOOKUP(A58,S0!$C$2:$I$89,7)</f>
        <v>PP</v>
      </c>
      <c r="C58" s="62"/>
      <c r="D58" s="62"/>
      <c r="E58" s="64" t="str">
        <f>+VLOOKUP(A58,S0!$C$2:$I$89,3)</f>
        <v>Ejecución de heurístico. Fijación de órdenes previsionales.</v>
      </c>
      <c r="F58" s="64" t="str">
        <f>+VLOOKUP(A58,S0!$C$2:$I$89,4)</f>
        <v>Proceso avanzado que permite hacer una nivelaciones de las capacidades de producción en base a métods heurísticos y optimizados. Parte del análisis de las órdenes previsionales creadas por el MRP Live y termina entregando un programa de producción para el corto plazo  balanceado y programado a detalle.</v>
      </c>
      <c r="G58" s="64">
        <f>+VLOOKUP(A58,S0!$C$2:$I$89,5)</f>
        <v>0</v>
      </c>
      <c r="H58" s="64">
        <f>+VLOOKUP(A58,S0!$C$2:$I$89,6)</f>
        <v>0</v>
      </c>
      <c r="I58" s="46" t="s">
        <v>95</v>
      </c>
      <c r="J58" s="46" t="s">
        <v>87</v>
      </c>
      <c r="K58" s="99"/>
      <c r="L58" s="77">
        <f>+(VLOOKUP($A58,S0!$C$2:$Y$89,18)/8 * VLOOKUP($I58,Atributos!$A$28:$B$31,2) * VLOOKUP($J58,Atributos!$A$22:$B$25,2))/5</f>
        <v>0</v>
      </c>
      <c r="M58" s="37">
        <f>+(VLOOKUP($A58,S0!$C$2:$Y$89,19)/8 * VLOOKUP($I58,Atributos!$A$28:$B81,2) * VLOOKUP($J58,Atributos!$A$22:$B75,2))/5</f>
        <v>0</v>
      </c>
      <c r="N58" s="43">
        <f>+VLOOKUP($A58,S0!$C$2:$Y$89,20)/8 * VLOOKUP($I58,Atributos!$A$28:$B$31,2) * VLOOKUP($J58,Atributos!$A$22:$B$25,2)/5</f>
        <v>0</v>
      </c>
      <c r="O58" s="43">
        <f>+VLOOKUP($A58,S0!$C$2:$Y$89,21)/8 * VLOOKUP($I58,Atributos!$A$28:$B$31,2) * VLOOKUP($J58,Atributos!$A$22:$B$25,2)/5</f>
        <v>0</v>
      </c>
      <c r="P58" s="43">
        <f>+VLOOKUP($A58,S0!$C$2:$Y$89,22)/8 * VLOOKUP($I58,Atributos!$A$28:$B$31,2) * VLOOKUP($J58,Atributos!$A$22:$B$25,2)/5</f>
        <v>0</v>
      </c>
      <c r="Q58" s="43">
        <f>+VLOOKUP($A58,S0!$C$2:$Y$89,23)/8 * VLOOKUP($I58,Atributos!$A$28:$B$31,2) * VLOOKUP($J58,Atributos!$A$22:$B$25,2)/5</f>
        <v>0</v>
      </c>
      <c r="R58" s="43">
        <f t="shared" si="9"/>
        <v>0</v>
      </c>
      <c r="S58" s="43">
        <f>+(VLOOKUP($A58,S0!$C$2:$Y$89,19)/8 * VLOOKUP($I58,Atributos!$A$28:$B$31,2) * VLOOKUP($J58,Atributos!$G$22:$H$25,2))/5</f>
        <v>0</v>
      </c>
      <c r="T58" s="43">
        <f>+VLOOKUP($A58,S0!$C$2:$Y$89,20)/8 * VLOOKUP($I58,Atributos!$A$28:$B$31,2) * VLOOKUP($J58,Atributos!$G$22:$H$25,2)/5</f>
        <v>0</v>
      </c>
      <c r="U58" s="43">
        <f>+VLOOKUP($A58,S0!$C$2:$Y$89,21)/8 * VLOOKUP($I58,Atributos!$A$28:$B$31,2) * VLOOKUP($J58,Atributos!$G$22:$H$25,2)/5</f>
        <v>0</v>
      </c>
      <c r="V58" s="43">
        <f>+VLOOKUP($A58,S0!$C$2:$Y$89,22)/8 * VLOOKUP($I58,Atributos!$A$28:$B$31,2) * VLOOKUP($J58,Atributos!$G$22:$H$25,2)/5</f>
        <v>0</v>
      </c>
      <c r="W58" s="43">
        <f>+VLOOKUP($A58,S0!$C$2:$Y$89,23)/8 * VLOOKUP($I58,Atributos!$A$28:$B$31,2) * VLOOKUP($J58,Atributos!$G$22:$H$25,2)/5</f>
        <v>0</v>
      </c>
      <c r="X58" s="43">
        <f t="shared" si="8"/>
        <v>0</v>
      </c>
      <c r="Y58" s="87">
        <f t="shared" si="10"/>
        <v>0</v>
      </c>
      <c r="Z58" s="87">
        <f t="shared" si="11"/>
        <v>0</v>
      </c>
      <c r="AA58" s="87">
        <f t="shared" si="12"/>
        <v>0</v>
      </c>
      <c r="AB58" s="87">
        <f t="shared" si="13"/>
        <v>0</v>
      </c>
      <c r="AC58" s="87">
        <f t="shared" si="14"/>
        <v>0</v>
      </c>
      <c r="AD58" s="87">
        <f t="shared" si="6"/>
        <v>0</v>
      </c>
    </row>
    <row r="59" spans="1:30" ht="120" x14ac:dyDescent="0.25">
      <c r="A59" s="36" t="s">
        <v>436</v>
      </c>
      <c r="B59" s="63" t="str">
        <f>+VLOOKUP(A59,S0!$C$2:$I$89,7)</f>
        <v>PP</v>
      </c>
      <c r="C59" s="62" t="s">
        <v>722</v>
      </c>
      <c r="D59" s="62"/>
      <c r="E59" s="64" t="str">
        <f>+VLOOKUP(A59,S0!$C$2:$I$89,3)</f>
        <v>Gestión de órdenes de fabricación que se dervian de un plan de producción.Notificación de actividades, consumo de componentes y entrada de mercancía.</v>
      </c>
      <c r="F59" s="64" t="str">
        <f>+VLOOKUP(A59,S0!$C$2:$I$89,4)</f>
        <v>Definición del flujo de fabricación en entorno de fabricación discreta. Parte desde la creación de la orden de fabricación hasta su cierre técnico. Incluye acividades de liberación, notificación, abastecimiento de almacenes de piso, ingreso de producto. Este proceso puede ser complementado con la planificación de producción. dentro de sus variantes incluye la entrega de subproductos y coproductos secundarios.</v>
      </c>
      <c r="G59" s="64" t="str">
        <f>+VLOOKUP(A59,S0!$C$2:$I$89,5)</f>
        <v>Fabricación de un producto.
Fabricación de coproductos.
Fabricación de subproductos.
Fabricación de PT y SE
Reprocesos.</v>
      </c>
      <c r="H59" s="64" t="str">
        <f>+VLOOKUP(A59,S0!$C$2:$I$89,6)</f>
        <v>No incluye embalaje con HU.
No se hace cálculo de componente activo.
No se incluye subcontratación.</v>
      </c>
      <c r="I59" s="46" t="s">
        <v>93</v>
      </c>
      <c r="J59" s="46" t="s">
        <v>88</v>
      </c>
      <c r="K59" s="99" t="s">
        <v>627</v>
      </c>
      <c r="L59" s="77">
        <f>+(VLOOKUP($A59,S0!$C$2:$Y$89,18)/8 * VLOOKUP($I59,Atributos!$A$28:$B$31,2) * VLOOKUP($J59,Atributos!$A$22:$B$25,2))/5</f>
        <v>8.4375000000000006E-2</v>
      </c>
      <c r="M59" s="37">
        <f>+(VLOOKUP($A59,S0!$C$2:$Y$89,19)/8 * VLOOKUP($I59,Atributos!$A$28:$B82,2) * VLOOKUP($J59,Atributos!$A$22:$B76,2))/5</f>
        <v>0</v>
      </c>
      <c r="N59" s="43">
        <f>+VLOOKUP($A59,S0!$C$2:$Y$89,20)/8 * VLOOKUP($I59,Atributos!$A$28:$B$31,2) * VLOOKUP($J59,Atributos!$A$22:$B$25,2)/5</f>
        <v>1.35</v>
      </c>
      <c r="O59" s="43">
        <f>+VLOOKUP($A59,S0!$C$2:$Y$89,21)/8 * VLOOKUP($I59,Atributos!$A$28:$B$31,2) * VLOOKUP($J59,Atributos!$A$22:$B$25,2)/5</f>
        <v>2.7</v>
      </c>
      <c r="P59" s="43">
        <f>+VLOOKUP($A59,S0!$C$2:$Y$89,22)/8 * VLOOKUP($I59,Atributos!$A$28:$B$31,2) * VLOOKUP($J59,Atributos!$A$22:$B$25,2)/5</f>
        <v>0.67500000000000004</v>
      </c>
      <c r="Q59" s="43">
        <f>+VLOOKUP($A59,S0!$C$2:$Y$89,23)/8 * VLOOKUP($I59,Atributos!$A$28:$B$31,2) * VLOOKUP($J59,Atributos!$A$22:$B$25,2)/5</f>
        <v>0.67500000000000004</v>
      </c>
      <c r="R59" s="43">
        <f t="shared" si="9"/>
        <v>4.7250000000000005</v>
      </c>
      <c r="S59" s="43">
        <f>+(VLOOKUP($A59,S0!$C$2:$Y$89,19)/8 * VLOOKUP($I59,Atributos!$A$28:$B$31,2) * VLOOKUP($J59,Atributos!$G$22:$H$25,2))/5</f>
        <v>0.1125</v>
      </c>
      <c r="T59" s="43">
        <f>+VLOOKUP($A59,S0!$C$2:$Y$89,20)/8 * VLOOKUP($I59,Atributos!$A$28:$B$31,2) * VLOOKUP($J59,Atributos!$G$22:$H$25,2)/5</f>
        <v>0.9</v>
      </c>
      <c r="U59" s="43">
        <f>+VLOOKUP($A59,S0!$C$2:$Y$89,21)/8 * VLOOKUP($I59,Atributos!$A$28:$B$31,2) * VLOOKUP($J59,Atributos!$G$22:$H$25,2)/5</f>
        <v>1.8</v>
      </c>
      <c r="V59" s="43">
        <f>+VLOOKUP($A59,S0!$C$2:$Y$89,22)/8 * VLOOKUP($I59,Atributos!$A$28:$B$31,2) * VLOOKUP($J59,Atributos!$G$22:$H$25,2)/5</f>
        <v>0.45</v>
      </c>
      <c r="W59" s="43">
        <f>+VLOOKUP($A59,S0!$C$2:$Y$89,23)/8 * VLOOKUP($I59,Atributos!$A$28:$B$31,2) * VLOOKUP($J59,Atributos!$G$22:$H$25,2)/5</f>
        <v>0.45</v>
      </c>
      <c r="X59" s="43">
        <f t="shared" si="8"/>
        <v>3.2625000000000002</v>
      </c>
      <c r="Y59" s="87">
        <f t="shared" si="10"/>
        <v>5.6250000000000001E-2</v>
      </c>
      <c r="Z59" s="87">
        <f t="shared" si="11"/>
        <v>1.125</v>
      </c>
      <c r="AA59" s="87">
        <f t="shared" si="12"/>
        <v>2.25</v>
      </c>
      <c r="AB59" s="87">
        <f t="shared" si="13"/>
        <v>0.5625</v>
      </c>
      <c r="AC59" s="87">
        <f t="shared" si="14"/>
        <v>0.5625</v>
      </c>
      <c r="AD59" s="87">
        <f t="shared" si="6"/>
        <v>3.9937499999999999</v>
      </c>
    </row>
    <row r="60" spans="1:30" ht="105" x14ac:dyDescent="0.25">
      <c r="A60" s="36" t="s">
        <v>442</v>
      </c>
      <c r="B60" s="63" t="str">
        <f>+VLOOKUP(A60,S0!$C$2:$I$89,7)</f>
        <v>PP</v>
      </c>
      <c r="C60" s="62" t="s">
        <v>733</v>
      </c>
      <c r="D60" s="62"/>
      <c r="E60" s="64" t="str">
        <f>+VLOOKUP(A60,S0!$C$2:$I$89,3)</f>
        <v>Gestión de órdenes de fabricación. Notificación de actividades, consumo de componentes y entrada de mercancía.</v>
      </c>
      <c r="F60" s="64" t="str">
        <f>+VLOOKUP(A60,S0!$C$2:$I$89,4)</f>
        <v>Utilización de órdenes diferenciadas para la gestión de reprocesos. Sigue la misma lógica que el procesos de fabricación contra stock. La presima principal es que un producto entra nuevamente a la línea de producción para ser ajustado a los valores de su especificación cuando se ha advertido defectos en el proceso de fabricación. Esto deriva en un sobrecosto.</v>
      </c>
      <c r="G60" s="64">
        <f>+VLOOKUP(A60,S0!$C$2:$I$89,5)</f>
        <v>0</v>
      </c>
      <c r="H60" s="64">
        <f>+VLOOKUP(A60,S0!$C$2:$I$89,6)</f>
        <v>0</v>
      </c>
      <c r="I60" s="46" t="s">
        <v>92</v>
      </c>
      <c r="J60" s="46" t="s">
        <v>87</v>
      </c>
      <c r="K60" s="99" t="s">
        <v>628</v>
      </c>
      <c r="L60" s="77">
        <f>+(VLOOKUP($A60,S0!$C$2:$Y$89,18)/8 * VLOOKUP($I60,Atributos!$A$28:$B$31,2) * VLOOKUP($J60,Atributos!$A$22:$B$25,2))/5</f>
        <v>3.7499999999999999E-2</v>
      </c>
      <c r="M60" s="37">
        <f>+(VLOOKUP($A60,S0!$C$2:$Y$89,19)/8 * VLOOKUP($I60,Atributos!$A$28:$B83,2) * VLOOKUP($J60,Atributos!$A$22:$B77,2))/5</f>
        <v>0.1</v>
      </c>
      <c r="N60" s="43">
        <f>+VLOOKUP($A60,S0!$C$2:$Y$89,20)/8 * VLOOKUP($I60,Atributos!$A$28:$B$31,2) * VLOOKUP($J60,Atributos!$A$22:$B$25,2)/5</f>
        <v>0.6</v>
      </c>
      <c r="O60" s="43">
        <f>+VLOOKUP($A60,S0!$C$2:$Y$89,21)/8 * VLOOKUP($I60,Atributos!$A$28:$B$31,2) * VLOOKUP($J60,Atributos!$A$22:$B$25,2)/5</f>
        <v>1.2</v>
      </c>
      <c r="P60" s="43">
        <f>+VLOOKUP($A60,S0!$C$2:$Y$89,22)/8 * VLOOKUP($I60,Atributos!$A$28:$B$31,2) * VLOOKUP($J60,Atributos!$A$22:$B$25,2)/5</f>
        <v>0.3</v>
      </c>
      <c r="Q60" s="43">
        <f>+VLOOKUP($A60,S0!$C$2:$Y$89,23)/8 * VLOOKUP($I60,Atributos!$A$28:$B$31,2) * VLOOKUP($J60,Atributos!$A$22:$B$25,2)/5</f>
        <v>0.3</v>
      </c>
      <c r="R60" s="43">
        <f t="shared" si="9"/>
        <v>2.1999999999999997</v>
      </c>
      <c r="S60" s="43">
        <f>+(VLOOKUP($A60,S0!$C$2:$Y$89,19)/8 * VLOOKUP($I60,Atributos!$A$28:$B$31,2) * VLOOKUP($J60,Atributos!$G$22:$H$25,2))/5</f>
        <v>0.05</v>
      </c>
      <c r="T60" s="43">
        <f>+VLOOKUP($A60,S0!$C$2:$Y$89,20)/8 * VLOOKUP($I60,Atributos!$A$28:$B$31,2) * VLOOKUP($J60,Atributos!$G$22:$H$25,2)/5</f>
        <v>0.4</v>
      </c>
      <c r="U60" s="43">
        <f>+VLOOKUP($A60,S0!$C$2:$Y$89,21)/8 * VLOOKUP($I60,Atributos!$A$28:$B$31,2) * VLOOKUP($J60,Atributos!$G$22:$H$25,2)/5</f>
        <v>0.8</v>
      </c>
      <c r="V60" s="43">
        <f>+VLOOKUP($A60,S0!$C$2:$Y$89,22)/8 * VLOOKUP($I60,Atributos!$A$28:$B$31,2) * VLOOKUP($J60,Atributos!$G$22:$H$25,2)/5</f>
        <v>0.2</v>
      </c>
      <c r="W60" s="43">
        <f>+VLOOKUP($A60,S0!$C$2:$Y$89,23)/8 * VLOOKUP($I60,Atributos!$A$28:$B$31,2) * VLOOKUP($J60,Atributos!$G$22:$H$25,2)/5</f>
        <v>0.2</v>
      </c>
      <c r="X60" s="43">
        <f t="shared" si="8"/>
        <v>1.45</v>
      </c>
      <c r="Y60" s="87">
        <f t="shared" si="10"/>
        <v>7.5000000000000011E-2</v>
      </c>
      <c r="Z60" s="87">
        <f t="shared" si="11"/>
        <v>0.5</v>
      </c>
      <c r="AA60" s="87">
        <f t="shared" si="12"/>
        <v>1</v>
      </c>
      <c r="AB60" s="87">
        <f t="shared" si="13"/>
        <v>0.25</v>
      </c>
      <c r="AC60" s="87">
        <f t="shared" si="14"/>
        <v>0.25</v>
      </c>
      <c r="AD60" s="87">
        <f t="shared" si="6"/>
        <v>1.825</v>
      </c>
    </row>
    <row r="61" spans="1:30" ht="150" x14ac:dyDescent="0.25">
      <c r="A61" s="36" t="s">
        <v>446</v>
      </c>
      <c r="B61" s="63" t="str">
        <f>+VLOOKUP(A61,S0!$C$2:$I$89,7)</f>
        <v>PP</v>
      </c>
      <c r="C61" s="117" t="s">
        <v>447</v>
      </c>
      <c r="D61" s="62" t="s">
        <v>731</v>
      </c>
      <c r="E61" s="64" t="str">
        <f>+VLOOKUP(A61,S0!$C$2:$I$89,3)</f>
        <v>Gestión de órdenes de fabricación que se dervian de un pedido de venta.Notificación de actividades, consumo de componentes y entrada de mercancía.</v>
      </c>
      <c r="F61" s="64" t="str">
        <f>+VLOOKUP(A61,S0!$C$2:$I$89,4)</f>
        <v>Definición del flujo de fabricación en entorno de fabricación discreta. Parte desde la creación de la orden de fabricación como parte de la integración con el área comercial en la creación del pedido de venta hasta su cierre técnico. Incluye acividades de liberación, notificación, abastecimiento de almacenes de piso, ingreso de producto. Este proceso puede ser complementado con la planificación de producción. dentro de sus variantes incluye la entrega de subproductos y coproductos secundarios.</v>
      </c>
      <c r="G61" s="64">
        <f>+VLOOKUP(A61,S0!$C$2:$I$89,5)</f>
        <v>0</v>
      </c>
      <c r="H61" s="64">
        <f>+VLOOKUP(A61,S0!$C$2:$I$89,6)</f>
        <v>0</v>
      </c>
      <c r="I61" s="46" t="s">
        <v>93</v>
      </c>
      <c r="J61" s="46" t="s">
        <v>88</v>
      </c>
      <c r="K61" s="99" t="s">
        <v>627</v>
      </c>
      <c r="L61" s="77">
        <f>+(VLOOKUP($A61,S0!$C$2:$Y$89,18)/8 * VLOOKUP($I61,Atributos!$A$28:$B$31,2) * VLOOKUP($J61,Atributos!$A$22:$B$25,2))/5</f>
        <v>8.4375000000000006E-2</v>
      </c>
      <c r="M61" s="37">
        <f>+(VLOOKUP($A61,S0!$C$2:$Y$89,19)/8 * VLOOKUP($I61,Atributos!$A$28:$B84,2) * VLOOKUP($J61,Atributos!$A$22:$B78,2))/5</f>
        <v>0.45</v>
      </c>
      <c r="N61" s="43">
        <f>+VLOOKUP($A61,S0!$C$2:$Y$89,20)/8 * VLOOKUP($I61,Atributos!$A$28:$B$31,2) * VLOOKUP($J61,Atributos!$A$22:$B$25,2)/5</f>
        <v>1.35</v>
      </c>
      <c r="O61" s="43">
        <f>+VLOOKUP($A61,S0!$C$2:$Y$89,21)/8 * VLOOKUP($I61,Atributos!$A$28:$B$31,2) * VLOOKUP($J61,Atributos!$A$22:$B$25,2)/5</f>
        <v>2.7</v>
      </c>
      <c r="P61" s="43">
        <f>+VLOOKUP($A61,S0!$C$2:$Y$89,22)/8 * VLOOKUP($I61,Atributos!$A$28:$B$31,2) * VLOOKUP($J61,Atributos!$A$22:$B$25,2)/5</f>
        <v>0.67500000000000004</v>
      </c>
      <c r="Q61" s="43">
        <f>+VLOOKUP($A61,S0!$C$2:$Y$89,23)/8 * VLOOKUP($I61,Atributos!$A$28:$B$31,2) * VLOOKUP($J61,Atributos!$A$22:$B$25,2)/5</f>
        <v>0.67500000000000004</v>
      </c>
      <c r="R61" s="43">
        <f t="shared" si="9"/>
        <v>5.1749999999999998</v>
      </c>
      <c r="S61" s="43">
        <f>+(VLOOKUP($A61,S0!$C$2:$Y$89,19)/8 * VLOOKUP($I61,Atributos!$A$28:$B$31,2) * VLOOKUP($J61,Atributos!$G$22:$H$25,2))/5</f>
        <v>0.1125</v>
      </c>
      <c r="T61" s="43">
        <f>+VLOOKUP($A61,S0!$C$2:$Y$89,20)/8 * VLOOKUP($I61,Atributos!$A$28:$B$31,2) * VLOOKUP($J61,Atributos!$G$22:$H$25,2)/5</f>
        <v>0.9</v>
      </c>
      <c r="U61" s="43">
        <f>+VLOOKUP($A61,S0!$C$2:$Y$89,21)/8 * VLOOKUP($I61,Atributos!$A$28:$B$31,2) * VLOOKUP($J61,Atributos!$G$22:$H$25,2)/5</f>
        <v>1.8</v>
      </c>
      <c r="V61" s="43">
        <f>+VLOOKUP($A61,S0!$C$2:$Y$89,22)/8 * VLOOKUP($I61,Atributos!$A$28:$B$31,2) * VLOOKUP($J61,Atributos!$G$22:$H$25,2)/5</f>
        <v>0.45</v>
      </c>
      <c r="W61" s="43">
        <f>+VLOOKUP($A61,S0!$C$2:$Y$89,23)/8 * VLOOKUP($I61,Atributos!$A$28:$B$31,2) * VLOOKUP($J61,Atributos!$G$22:$H$25,2)/5</f>
        <v>0.45</v>
      </c>
      <c r="X61" s="43">
        <f t="shared" si="8"/>
        <v>3.2625000000000002</v>
      </c>
      <c r="Y61" s="87">
        <f t="shared" si="10"/>
        <v>0.28125</v>
      </c>
      <c r="Z61" s="87">
        <f t="shared" si="11"/>
        <v>1.125</v>
      </c>
      <c r="AA61" s="87">
        <f t="shared" si="12"/>
        <v>2.25</v>
      </c>
      <c r="AB61" s="87">
        <f t="shared" si="13"/>
        <v>0.5625</v>
      </c>
      <c r="AC61" s="87">
        <f t="shared" si="14"/>
        <v>0.5625</v>
      </c>
      <c r="AD61" s="87">
        <f t="shared" si="6"/>
        <v>4.21875</v>
      </c>
    </row>
    <row r="62" spans="1:30" ht="165" x14ac:dyDescent="0.25">
      <c r="A62" s="36" t="s">
        <v>450</v>
      </c>
      <c r="B62" s="63" t="str">
        <f>+VLOOKUP(A62,S0!$C$2:$I$89,7)</f>
        <v>PP</v>
      </c>
      <c r="C62" s="62" t="s">
        <v>734</v>
      </c>
      <c r="D62" s="62"/>
      <c r="E62" s="64" t="str">
        <f>+VLOOKUP(A62,S0!$C$2:$I$89,3)</f>
        <v>Gestión de órdenes de fabricación que se dervian de un plan de producción de coproductos. Creación de órdenes de los coproductos. Creación de orden combinada.Notificación de actividades, consumo de componentes y entrada de mercancía.</v>
      </c>
      <c r="F62" s="64" t="str">
        <f>+VLOOKUP(A62,S0!$C$2:$I$89,4)</f>
        <v>Definición del flujo de fabricación en entorno de fabricación discreta. Parte desde la creación de la orden de fabricación de manera individual de cada coproducto como parte de la planificación de producción, luego la creación de la orden combinada para la realización de la operación simultánea de los coproductos. Incluye acividades de liberación, notificación, abastecimiento de almacenes de piso, ingreso de producto. Este proceso puede ser complementado con la planificación de producción. dentro de sus variantes incluye la entrega de subproductos y coproductos secundarios.</v>
      </c>
      <c r="G62" s="64">
        <f>+VLOOKUP(A62,S0!$C$2:$I$89,5)</f>
        <v>0</v>
      </c>
      <c r="H62" s="64">
        <f>+VLOOKUP(A62,S0!$C$2:$I$89,6)</f>
        <v>0</v>
      </c>
      <c r="I62" s="46" t="s">
        <v>92</v>
      </c>
      <c r="J62" s="46" t="s">
        <v>87</v>
      </c>
      <c r="K62" s="99"/>
      <c r="L62" s="77">
        <f>+(VLOOKUP($A62,S0!$C$2:$Y$89,18)/8 * VLOOKUP($I62,Atributos!$A$28:$B$31,2) * VLOOKUP($J62,Atributos!$A$22:$B$25,2))/5</f>
        <v>3.7499999999999999E-2</v>
      </c>
      <c r="M62" s="37">
        <f>+(VLOOKUP($A62,S0!$C$2:$Y$89,19)/8 * VLOOKUP($I62,Atributos!$A$28:$B85,2) * VLOOKUP($J62,Atributos!$A$22:$B79,2))/5</f>
        <v>0.1</v>
      </c>
      <c r="N62" s="43">
        <f>+VLOOKUP($A62,S0!$C$2:$Y$89,20)/8 * VLOOKUP($I62,Atributos!$A$28:$B$31,2) * VLOOKUP($J62,Atributos!$A$22:$B$25,2)/5</f>
        <v>0.6</v>
      </c>
      <c r="O62" s="43">
        <f>+VLOOKUP($A62,S0!$C$2:$Y$89,21)/8 * VLOOKUP($I62,Atributos!$A$28:$B$31,2) * VLOOKUP($J62,Atributos!$A$22:$B$25,2)/5</f>
        <v>1.2</v>
      </c>
      <c r="P62" s="43">
        <f>+VLOOKUP($A62,S0!$C$2:$Y$89,22)/8 * VLOOKUP($I62,Atributos!$A$28:$B$31,2) * VLOOKUP($J62,Atributos!$A$22:$B$25,2)/5</f>
        <v>0.3</v>
      </c>
      <c r="Q62" s="43">
        <f>+VLOOKUP($A62,S0!$C$2:$Y$89,23)/8 * VLOOKUP($I62,Atributos!$A$28:$B$31,2) * VLOOKUP($J62,Atributos!$A$22:$B$25,2)/5</f>
        <v>0.3</v>
      </c>
      <c r="R62" s="43">
        <f t="shared" si="9"/>
        <v>2.1999999999999997</v>
      </c>
      <c r="S62" s="43">
        <f>+(VLOOKUP($A62,S0!$C$2:$Y$89,19)/8 * VLOOKUP($I62,Atributos!$A$28:$B$31,2) * VLOOKUP($J62,Atributos!$G$22:$H$25,2))/5</f>
        <v>0.05</v>
      </c>
      <c r="T62" s="43">
        <f>+VLOOKUP($A62,S0!$C$2:$Y$89,20)/8 * VLOOKUP($I62,Atributos!$A$28:$B$31,2) * VLOOKUP($J62,Atributos!$G$22:$H$25,2)/5</f>
        <v>0.4</v>
      </c>
      <c r="U62" s="43">
        <f>+VLOOKUP($A62,S0!$C$2:$Y$89,21)/8 * VLOOKUP($I62,Atributos!$A$28:$B$31,2) * VLOOKUP($J62,Atributos!$G$22:$H$25,2)/5</f>
        <v>0.8</v>
      </c>
      <c r="V62" s="43">
        <f>+VLOOKUP($A62,S0!$C$2:$Y$89,22)/8 * VLOOKUP($I62,Atributos!$A$28:$B$31,2) * VLOOKUP($J62,Atributos!$G$22:$H$25,2)/5</f>
        <v>0.2</v>
      </c>
      <c r="W62" s="43">
        <f>+VLOOKUP($A62,S0!$C$2:$Y$89,23)/8 * VLOOKUP($I62,Atributos!$A$28:$B$31,2) * VLOOKUP($J62,Atributos!$G$22:$H$25,2)/5</f>
        <v>0.2</v>
      </c>
      <c r="X62" s="43">
        <f t="shared" si="8"/>
        <v>1.45</v>
      </c>
      <c r="Y62" s="87">
        <f t="shared" si="10"/>
        <v>7.5000000000000011E-2</v>
      </c>
      <c r="Z62" s="87">
        <f t="shared" si="11"/>
        <v>0.5</v>
      </c>
      <c r="AA62" s="87">
        <f t="shared" si="12"/>
        <v>1</v>
      </c>
      <c r="AB62" s="87">
        <f t="shared" si="13"/>
        <v>0.25</v>
      </c>
      <c r="AC62" s="87">
        <f t="shared" si="14"/>
        <v>0.25</v>
      </c>
      <c r="AD62" s="87">
        <f t="shared" si="6"/>
        <v>1.825</v>
      </c>
    </row>
    <row r="63" spans="1:30" ht="75" x14ac:dyDescent="0.25">
      <c r="A63" s="36" t="s">
        <v>454</v>
      </c>
      <c r="B63" s="63" t="str">
        <f>+VLOOKUP(A63,S0!$C$2:$I$89,7)</f>
        <v>PP</v>
      </c>
      <c r="C63" s="62" t="s">
        <v>735</v>
      </c>
      <c r="D63" s="62"/>
      <c r="E63" s="64" t="str">
        <f>+VLOOKUP(A63,S0!$C$2:$I$89,3)</f>
        <v>Gestión de órdenes de fabricación. Notificación de actividades, consumo de componentes y entrada de mercancía.</v>
      </c>
      <c r="F63" s="64" t="str">
        <f>+VLOOKUP(A63,S0!$C$2:$I$89,4)</f>
        <v>Variante del proceso de fabricación discreta en la que todo o parte de la fabricación se lleva a cabo con un proveedor. Se integra con la logística. A nivel de costo de producción se agrega el servicio de la subcontratación como parte del esquema de costos.</v>
      </c>
      <c r="G63" s="64">
        <f>+VLOOKUP(A63,S0!$C$2:$I$89,5)</f>
        <v>0</v>
      </c>
      <c r="H63" s="64">
        <f>+VLOOKUP(A63,S0!$C$2:$I$89,6)</f>
        <v>0</v>
      </c>
      <c r="I63" s="46" t="s">
        <v>92</v>
      </c>
      <c r="J63" s="46" t="s">
        <v>87</v>
      </c>
      <c r="K63" s="99"/>
      <c r="L63" s="77">
        <f>+(VLOOKUP($A63,S0!$C$2:$Y$89,18)/8 * VLOOKUP($I63,Atributos!$A$28:$B$31,2) * VLOOKUP($J63,Atributos!$A$22:$B$25,2))/5</f>
        <v>3.7499999999999999E-2</v>
      </c>
      <c r="M63" s="37">
        <f>+(VLOOKUP($A63,S0!$C$2:$Y$89,19)/8 * VLOOKUP($I63,Atributos!$A$28:$B86,2) * VLOOKUP($J63,Atributos!$A$22:$B80,2))/5</f>
        <v>0.2</v>
      </c>
      <c r="N63" s="43">
        <f>+VLOOKUP($A63,S0!$C$2:$Y$89,20)/8 * VLOOKUP($I63,Atributos!$A$28:$B$31,2) * VLOOKUP($J63,Atributos!$A$22:$B$25,2)/5</f>
        <v>0.6</v>
      </c>
      <c r="O63" s="43">
        <f>+VLOOKUP($A63,S0!$C$2:$Y$89,21)/8 * VLOOKUP($I63,Atributos!$A$28:$B$31,2) * VLOOKUP($J63,Atributos!$A$22:$B$25,2)/5</f>
        <v>1.2</v>
      </c>
      <c r="P63" s="43">
        <f>+VLOOKUP($A63,S0!$C$2:$Y$89,22)/8 * VLOOKUP($I63,Atributos!$A$28:$B$31,2) * VLOOKUP($J63,Atributos!$A$22:$B$25,2)/5</f>
        <v>0.3</v>
      </c>
      <c r="Q63" s="43">
        <f>+VLOOKUP($A63,S0!$C$2:$Y$89,23)/8 * VLOOKUP($I63,Atributos!$A$28:$B$31,2) * VLOOKUP($J63,Atributos!$A$22:$B$25,2)/5</f>
        <v>0.3</v>
      </c>
      <c r="R63" s="43">
        <f t="shared" si="9"/>
        <v>2.2999999999999998</v>
      </c>
      <c r="S63" s="43">
        <f>+(VLOOKUP($A63,S0!$C$2:$Y$89,19)/8 * VLOOKUP($I63,Atributos!$A$28:$B$31,2) * VLOOKUP($J63,Atributos!$G$22:$H$25,2))/5</f>
        <v>0.05</v>
      </c>
      <c r="T63" s="43">
        <f>+VLOOKUP($A63,S0!$C$2:$Y$89,20)/8 * VLOOKUP($I63,Atributos!$A$28:$B$31,2) * VLOOKUP($J63,Atributos!$G$22:$H$25,2)/5</f>
        <v>0.4</v>
      </c>
      <c r="U63" s="43">
        <f>+VLOOKUP($A63,S0!$C$2:$Y$89,21)/8 * VLOOKUP($I63,Atributos!$A$28:$B$31,2) * VLOOKUP($J63,Atributos!$G$22:$H$25,2)/5</f>
        <v>0.8</v>
      </c>
      <c r="V63" s="43">
        <f>+VLOOKUP($A63,S0!$C$2:$Y$89,22)/8 * VLOOKUP($I63,Atributos!$A$28:$B$31,2) * VLOOKUP($J63,Atributos!$G$22:$H$25,2)/5</f>
        <v>0.2</v>
      </c>
      <c r="W63" s="43">
        <f>+VLOOKUP($A63,S0!$C$2:$Y$89,23)/8 * VLOOKUP($I63,Atributos!$A$28:$B$31,2) * VLOOKUP($J63,Atributos!$G$22:$H$25,2)/5</f>
        <v>0.2</v>
      </c>
      <c r="X63" s="43">
        <f t="shared" si="8"/>
        <v>1.45</v>
      </c>
      <c r="Y63" s="87">
        <f t="shared" si="10"/>
        <v>0.125</v>
      </c>
      <c r="Z63" s="87">
        <f t="shared" si="11"/>
        <v>0.5</v>
      </c>
      <c r="AA63" s="87">
        <f t="shared" si="12"/>
        <v>1</v>
      </c>
      <c r="AB63" s="87">
        <f t="shared" si="13"/>
        <v>0.25</v>
      </c>
      <c r="AC63" s="87">
        <f t="shared" si="14"/>
        <v>0.25</v>
      </c>
      <c r="AD63" s="87">
        <f t="shared" si="6"/>
        <v>1.875</v>
      </c>
    </row>
    <row r="64" spans="1:30" ht="135" x14ac:dyDescent="0.25">
      <c r="A64" s="36" t="s">
        <v>457</v>
      </c>
      <c r="B64" s="63" t="str">
        <f>+VLOOKUP(A64,S0!$C$2:$I$89,7)</f>
        <v>PP</v>
      </c>
      <c r="C64" s="62" t="s">
        <v>736</v>
      </c>
      <c r="D64" s="62"/>
      <c r="E64" s="64" t="str">
        <f>+VLOOKUP(A64,S0!$C$2:$I$89,3)</f>
        <v>Gestión de órdenes de proceso que se derivan de un plan de producción.Notificación de actividades, consumo de componentes y entrada de mercancía.</v>
      </c>
      <c r="F64" s="64" t="str">
        <f>+VLOOKUP(A64,S0!$C$2:$I$89,4)</f>
        <v xml:space="preserve">Definición del flujo de fabricación en entorno de fabricación por procesos. Parte desde la creación de la orden de proceso hasta su cierre técnico. Incluye cálculo de componente activo, actividades de liberación, notificación, abastecimiento de almacenes de piso, ingreso de producto. Este proceso puede ser complementado con la planificación de producción. dentro de sus variantes incluye la entrega de subproductos y coproductos secundarios. </v>
      </c>
      <c r="G64" s="64" t="str">
        <f>+VLOOKUP(A64,S0!$C$2:$I$89,5)</f>
        <v>Fabricación de un producto.
Fabricación de coproductos.
Fabricación de subproductos.
Reprocesos.
Fabricación de PT y SE</v>
      </c>
      <c r="H64" s="64" t="str">
        <f>+VLOOKUP(A64,S0!$C$2:$I$89,6)</f>
        <v>No incluye embalaje con HU.
No se hace cálculo de componente activo.
No se incluye subcontratación.</v>
      </c>
      <c r="I64" s="46" t="s">
        <v>95</v>
      </c>
      <c r="J64" s="46" t="s">
        <v>87</v>
      </c>
      <c r="K64" s="99"/>
      <c r="L64" s="77">
        <f>+(VLOOKUP($A64,S0!$C$2:$Y$89,18)/8 * VLOOKUP($I64,Atributos!$A$28:$B$31,2) * VLOOKUP($J64,Atributos!$A$22:$B$25,2))/5</f>
        <v>0</v>
      </c>
      <c r="M64" s="37">
        <f>+(VLOOKUP($A64,S0!$C$2:$Y$89,19)/8 * VLOOKUP($I64,Atributos!$A$28:$B87,2) * VLOOKUP($J64,Atributos!$A$22:$B81,2))/5</f>
        <v>0</v>
      </c>
      <c r="N64" s="43">
        <f>+VLOOKUP($A64,S0!$C$2:$Y$89,20)/8 * VLOOKUP($I64,Atributos!$A$28:$B$31,2) * VLOOKUP($J64,Atributos!$A$22:$B$25,2)/5</f>
        <v>0</v>
      </c>
      <c r="O64" s="43">
        <f>+VLOOKUP($A64,S0!$C$2:$Y$89,21)/8 * VLOOKUP($I64,Atributos!$A$28:$B$31,2) * VLOOKUP($J64,Atributos!$A$22:$B$25,2)/5</f>
        <v>0</v>
      </c>
      <c r="P64" s="43">
        <f>+VLOOKUP($A64,S0!$C$2:$Y$89,22)/8 * VLOOKUP($I64,Atributos!$A$28:$B$31,2) * VLOOKUP($J64,Atributos!$A$22:$B$25,2)/5</f>
        <v>0</v>
      </c>
      <c r="Q64" s="43">
        <f>+VLOOKUP($A64,S0!$C$2:$Y$89,23)/8 * VLOOKUP($I64,Atributos!$A$28:$B$31,2) * VLOOKUP($J64,Atributos!$A$22:$B$25,2)/5</f>
        <v>0</v>
      </c>
      <c r="R64" s="43">
        <f t="shared" si="9"/>
        <v>0</v>
      </c>
      <c r="S64" s="43">
        <f>+(VLOOKUP($A64,S0!$C$2:$Y$89,19)/8 * VLOOKUP($I64,Atributos!$A$28:$B$31,2) * VLOOKUP($J64,Atributos!$G$22:$H$25,2))/5</f>
        <v>0</v>
      </c>
      <c r="T64" s="43">
        <f>+VLOOKUP($A64,S0!$C$2:$Y$89,20)/8 * VLOOKUP($I64,Atributos!$A$28:$B$31,2) * VLOOKUP($J64,Atributos!$G$22:$H$25,2)/5</f>
        <v>0</v>
      </c>
      <c r="U64" s="43">
        <f>+VLOOKUP($A64,S0!$C$2:$Y$89,21)/8 * VLOOKUP($I64,Atributos!$A$28:$B$31,2) * VLOOKUP($J64,Atributos!$G$22:$H$25,2)/5</f>
        <v>0</v>
      </c>
      <c r="V64" s="43">
        <f>+VLOOKUP($A64,S0!$C$2:$Y$89,22)/8 * VLOOKUP($I64,Atributos!$A$28:$B$31,2) * VLOOKUP($J64,Atributos!$G$22:$H$25,2)/5</f>
        <v>0</v>
      </c>
      <c r="W64" s="43">
        <f>+VLOOKUP($A64,S0!$C$2:$Y$89,23)/8 * VLOOKUP($I64,Atributos!$A$28:$B$31,2) * VLOOKUP($J64,Atributos!$G$22:$H$25,2)/5</f>
        <v>0</v>
      </c>
      <c r="X64" s="43">
        <f t="shared" si="8"/>
        <v>0</v>
      </c>
      <c r="Y64" s="87">
        <f t="shared" si="10"/>
        <v>0</v>
      </c>
      <c r="Z64" s="87">
        <f t="shared" si="11"/>
        <v>0</v>
      </c>
      <c r="AA64" s="87">
        <f t="shared" si="12"/>
        <v>0</v>
      </c>
      <c r="AB64" s="87">
        <f t="shared" si="13"/>
        <v>0</v>
      </c>
      <c r="AC64" s="87">
        <f t="shared" si="14"/>
        <v>0</v>
      </c>
      <c r="AD64" s="87">
        <f t="shared" si="6"/>
        <v>0</v>
      </c>
    </row>
    <row r="65" spans="1:30" ht="105" x14ac:dyDescent="0.25">
      <c r="A65" s="36" t="s">
        <v>463</v>
      </c>
      <c r="B65" s="63" t="str">
        <f>+VLOOKUP(A65,S0!$C$2:$I$89,7)</f>
        <v>PP</v>
      </c>
      <c r="C65" s="62" t="s">
        <v>672</v>
      </c>
      <c r="D65" s="62"/>
      <c r="E65" s="64" t="str">
        <f>+VLOOKUP(A65,S0!$C$2:$I$89,3)</f>
        <v>Gestión de órdenes de proceso. Notificación de actividades, consumo de componentes y entrada de mercancía.</v>
      </c>
      <c r="F65" s="64" t="str">
        <f>+VLOOKUP(A65,S0!$C$2:$I$89,4)</f>
        <v>Utilización de órdenes diferenciadas para la gestión de reprocesos. Sigue la misma lógica que el procesos de fabricación contra stock. La presima principal es que un producto entra nuevamente a la línea de producción para ser ajustado a los valores de su especificación cuando se ha advertido defectos en el proceso de fabricación. Esto deriva en un sobrecosto.</v>
      </c>
      <c r="G65" s="64">
        <f>+VLOOKUP(A65,S0!$C$2:$I$89,5)</f>
        <v>0</v>
      </c>
      <c r="H65" s="64">
        <f>+VLOOKUP(A65,S0!$C$2:$I$89,6)</f>
        <v>0</v>
      </c>
      <c r="I65" s="46" t="s">
        <v>95</v>
      </c>
      <c r="J65" s="46" t="s">
        <v>87</v>
      </c>
      <c r="K65" s="99"/>
      <c r="L65" s="77">
        <f>+(VLOOKUP($A65,S0!$C$2:$Y$89,18)/8 * VLOOKUP($I65,Atributos!$A$28:$B$31,2) * VLOOKUP($J65,Atributos!$A$22:$B$25,2))/5</f>
        <v>0</v>
      </c>
      <c r="M65" s="37">
        <f>+(VLOOKUP($A65,S0!$C$2:$Y$89,19)/8 * VLOOKUP($I65,Atributos!$A$28:$B88,2) * VLOOKUP($J65,Atributos!$A$22:$B82,2))/5</f>
        <v>0</v>
      </c>
      <c r="N65" s="43">
        <f>+VLOOKUP($A65,S0!$C$2:$Y$89,20)/8 * VLOOKUP($I65,Atributos!$A$28:$B$31,2) * VLOOKUP($J65,Atributos!$A$22:$B$25,2)/5</f>
        <v>0</v>
      </c>
      <c r="O65" s="43">
        <f>+VLOOKUP($A65,S0!$C$2:$Y$89,21)/8 * VLOOKUP($I65,Atributos!$A$28:$B$31,2) * VLOOKUP($J65,Atributos!$A$22:$B$25,2)/5</f>
        <v>0</v>
      </c>
      <c r="P65" s="43">
        <f>+VLOOKUP($A65,S0!$C$2:$Y$89,22)/8 * VLOOKUP($I65,Atributos!$A$28:$B$31,2) * VLOOKUP($J65,Atributos!$A$22:$B$25,2)/5</f>
        <v>0</v>
      </c>
      <c r="Q65" s="43">
        <f>+VLOOKUP($A65,S0!$C$2:$Y$89,23)/8 * VLOOKUP($I65,Atributos!$A$28:$B$31,2) * VLOOKUP($J65,Atributos!$A$22:$B$25,2)/5</f>
        <v>0</v>
      </c>
      <c r="R65" s="43">
        <f t="shared" si="9"/>
        <v>0</v>
      </c>
      <c r="S65" s="43">
        <f>+(VLOOKUP($A65,S0!$C$2:$Y$89,19)/8 * VLOOKUP($I65,Atributos!$A$28:$B$31,2) * VLOOKUP($J65,Atributos!$G$22:$H$25,2))/5</f>
        <v>0</v>
      </c>
      <c r="T65" s="43">
        <f>+VLOOKUP($A65,S0!$C$2:$Y$89,20)/8 * VLOOKUP($I65,Atributos!$A$28:$B$31,2) * VLOOKUP($J65,Atributos!$G$22:$H$25,2)/5</f>
        <v>0</v>
      </c>
      <c r="U65" s="43">
        <f>+VLOOKUP($A65,S0!$C$2:$Y$89,21)/8 * VLOOKUP($I65,Atributos!$A$28:$B$31,2) * VLOOKUP($J65,Atributos!$G$22:$H$25,2)/5</f>
        <v>0</v>
      </c>
      <c r="V65" s="43">
        <f>+VLOOKUP($A65,S0!$C$2:$Y$89,22)/8 * VLOOKUP($I65,Atributos!$A$28:$B$31,2) * VLOOKUP($J65,Atributos!$G$22:$H$25,2)/5</f>
        <v>0</v>
      </c>
      <c r="W65" s="43">
        <f>+VLOOKUP($A65,S0!$C$2:$Y$89,23)/8 * VLOOKUP($I65,Atributos!$A$28:$B$31,2) * VLOOKUP($J65,Atributos!$G$22:$H$25,2)/5</f>
        <v>0</v>
      </c>
      <c r="X65" s="43">
        <f t="shared" si="8"/>
        <v>0</v>
      </c>
      <c r="Y65" s="87">
        <f t="shared" si="10"/>
        <v>0</v>
      </c>
      <c r="Z65" s="87">
        <f t="shared" si="11"/>
        <v>0</v>
      </c>
      <c r="AA65" s="87">
        <f t="shared" si="12"/>
        <v>0</v>
      </c>
      <c r="AB65" s="87">
        <f t="shared" si="13"/>
        <v>0</v>
      </c>
      <c r="AC65" s="87">
        <f t="shared" si="14"/>
        <v>0</v>
      </c>
      <c r="AD65" s="87">
        <f t="shared" si="6"/>
        <v>0</v>
      </c>
    </row>
    <row r="66" spans="1:30" ht="150" x14ac:dyDescent="0.25">
      <c r="A66" s="36" t="s">
        <v>465</v>
      </c>
      <c r="B66" s="63" t="str">
        <f>+VLOOKUP(A66,S0!$C$2:$I$89,7)</f>
        <v>PP</v>
      </c>
      <c r="C66" s="117" t="s">
        <v>466</v>
      </c>
      <c r="D66" s="62" t="s">
        <v>732</v>
      </c>
      <c r="E66" s="64" t="str">
        <f>+VLOOKUP(A66,S0!$C$2:$I$89,3)</f>
        <v>Gestión de órdenes de proceso que se dervian de un pedido de venta.Notificación de actividades, consumo de componentes y entrada de mercancía.</v>
      </c>
      <c r="F66" s="64" t="str">
        <f>+VLOOKUP(A66,S0!$C$2:$I$89,4)</f>
        <v>Definición del flujo de fabricación en entorno de fabricación por procesos. Parte desde la creación de la orden de proceso como parte de la integración con el área comercial en la creación del pedido de venta hasta su cierre técnico. Incluye acividades de liberación, notificación, abastecimiento de almacenes de piso, ingreso de producto. Este proceso puede ser complementado con la planificación de producción. dentro de sus variantes incluye la entrega de subproductos y coproductos secundarios.</v>
      </c>
      <c r="G66" s="64">
        <f>+VLOOKUP(A66,S0!$C$2:$I$89,5)</f>
        <v>0</v>
      </c>
      <c r="H66" s="64">
        <f>+VLOOKUP(A66,S0!$C$2:$I$89,6)</f>
        <v>0</v>
      </c>
      <c r="I66" s="46" t="s">
        <v>95</v>
      </c>
      <c r="J66" s="46" t="s">
        <v>87</v>
      </c>
      <c r="K66" s="99"/>
      <c r="L66" s="77">
        <f>+(VLOOKUP($A66,S0!$C$2:$Y$89,18)/8 * VLOOKUP($I66,Atributos!$A$28:$B$31,2) * VLOOKUP($J66,Atributos!$A$22:$B$25,2))/5</f>
        <v>0</v>
      </c>
      <c r="M66" s="37">
        <f>+(VLOOKUP($A66,S0!$C$2:$Y$89,19)/8 * VLOOKUP($I66,Atributos!$A$28:$B89,2) * VLOOKUP($J66,Atributos!$A$22:$B83,2))/5</f>
        <v>0</v>
      </c>
      <c r="N66" s="43">
        <f>+VLOOKUP($A66,S0!$C$2:$Y$89,20)/8 * VLOOKUP($I66,Atributos!$A$28:$B$31,2) * VLOOKUP($J66,Atributos!$A$22:$B$25,2)/5</f>
        <v>0</v>
      </c>
      <c r="O66" s="43">
        <f>+VLOOKUP($A66,S0!$C$2:$Y$89,21)/8 * VLOOKUP($I66,Atributos!$A$28:$B$31,2) * VLOOKUP($J66,Atributos!$A$22:$B$25,2)/5</f>
        <v>0</v>
      </c>
      <c r="P66" s="43">
        <f>+VLOOKUP($A66,S0!$C$2:$Y$89,22)/8 * VLOOKUP($I66,Atributos!$A$28:$B$31,2) * VLOOKUP($J66,Atributos!$A$22:$B$25,2)/5</f>
        <v>0</v>
      </c>
      <c r="Q66" s="43">
        <f>+VLOOKUP($A66,S0!$C$2:$Y$89,23)/8 * VLOOKUP($I66,Atributos!$A$28:$B$31,2) * VLOOKUP($J66,Atributos!$A$22:$B$25,2)/5</f>
        <v>0</v>
      </c>
      <c r="R66" s="43">
        <f t="shared" si="9"/>
        <v>0</v>
      </c>
      <c r="S66" s="43">
        <f>+(VLOOKUP($A66,S0!$C$2:$Y$89,19)/8 * VLOOKUP($I66,Atributos!$A$28:$B$31,2) * VLOOKUP($J66,Atributos!$G$22:$H$25,2))/5</f>
        <v>0</v>
      </c>
      <c r="T66" s="43">
        <f>+VLOOKUP($A66,S0!$C$2:$Y$89,20)/8 * VLOOKUP($I66,Atributos!$A$28:$B$31,2) * VLOOKUP($J66,Atributos!$G$22:$H$25,2)/5</f>
        <v>0</v>
      </c>
      <c r="U66" s="43">
        <f>+VLOOKUP($A66,S0!$C$2:$Y$89,21)/8 * VLOOKUP($I66,Atributos!$A$28:$B$31,2) * VLOOKUP($J66,Atributos!$G$22:$H$25,2)/5</f>
        <v>0</v>
      </c>
      <c r="V66" s="43">
        <f>+VLOOKUP($A66,S0!$C$2:$Y$89,22)/8 * VLOOKUP($I66,Atributos!$A$28:$B$31,2) * VLOOKUP($J66,Atributos!$G$22:$H$25,2)/5</f>
        <v>0</v>
      </c>
      <c r="W66" s="43">
        <f>+VLOOKUP($A66,S0!$C$2:$Y$89,23)/8 * VLOOKUP($I66,Atributos!$A$28:$B$31,2) * VLOOKUP($J66,Atributos!$G$22:$H$25,2)/5</f>
        <v>0</v>
      </c>
      <c r="X66" s="43">
        <f t="shared" si="8"/>
        <v>0</v>
      </c>
      <c r="Y66" s="87">
        <f t="shared" si="10"/>
        <v>0</v>
      </c>
      <c r="Z66" s="87">
        <f t="shared" si="11"/>
        <v>0</v>
      </c>
      <c r="AA66" s="87">
        <f t="shared" si="12"/>
        <v>0</v>
      </c>
      <c r="AB66" s="87">
        <f t="shared" si="13"/>
        <v>0</v>
      </c>
      <c r="AC66" s="87">
        <f t="shared" si="14"/>
        <v>0</v>
      </c>
      <c r="AD66" s="87">
        <f t="shared" si="6"/>
        <v>0</v>
      </c>
    </row>
    <row r="67" spans="1:30" ht="135" x14ac:dyDescent="0.25">
      <c r="A67" s="36" t="s">
        <v>469</v>
      </c>
      <c r="B67" s="63" t="str">
        <f>+VLOOKUP(A67,S0!$C$2:$I$89,7)</f>
        <v>PP</v>
      </c>
      <c r="C67" s="62" t="s">
        <v>737</v>
      </c>
      <c r="D67" s="62"/>
      <c r="E67" s="64" t="str">
        <f>+VLOOKUP(A67,S0!$C$2:$I$89,3)</f>
        <v>Gestión de colector de costos. Notificación de actividades, consumo de componentes y entrada de mercancía.</v>
      </c>
      <c r="F67" s="64" t="str">
        <f>+VLOOKUP(A67,S0!$C$2:$I$89,4)</f>
        <v>Definición del flujo de fabricación en entorno de fabricación repetitiva. Parte desde la creación del colector de costos hasta la notificación de la producción. Incluye notificación, abastecimiento de almacenes de piso, ingreso de producto. Este proceso puede ser complementado con la planificación de producción. dentro de sus variantes incluye la entrega de subproductos. Recomendado para procesos de fabricación de pocos productos y sencillo esquema de planta.</v>
      </c>
      <c r="G67" s="64" t="str">
        <f>+VLOOKUP(A67,S0!$C$2:$I$89,5)</f>
        <v xml:space="preserve">Fabricación de un producto.
</v>
      </c>
      <c r="H67" s="64" t="str">
        <f>+VLOOKUP(A67,S0!$C$2:$I$89,6)</f>
        <v>No incluye embalaje con HU.
No se hace cálculo de componente activo.
No se incluye subcontratación.</v>
      </c>
      <c r="I67" s="46" t="s">
        <v>95</v>
      </c>
      <c r="J67" s="46" t="s">
        <v>87</v>
      </c>
      <c r="K67" s="99"/>
      <c r="L67" s="77">
        <f>+(VLOOKUP($A67,S0!$C$2:$Y$89,18)/8 * VLOOKUP($I67,Atributos!$A$28:$B$31,2) * VLOOKUP($J67,Atributos!$A$22:$B$25,2))/5</f>
        <v>0</v>
      </c>
      <c r="M67" s="37">
        <f>+(VLOOKUP($A67,S0!$C$2:$Y$89,19)/8 * VLOOKUP($I67,Atributos!$A$28:$B90,2) * VLOOKUP($J67,Atributos!$A$22:$B84,2))/5</f>
        <v>0.375</v>
      </c>
      <c r="N67" s="43">
        <f>+VLOOKUP($A67,S0!$C$2:$Y$89,20)/8 * VLOOKUP($I67,Atributos!$A$28:$B$31,2) * VLOOKUP($J67,Atributos!$A$22:$B$25,2)/5</f>
        <v>0</v>
      </c>
      <c r="O67" s="43">
        <f>+VLOOKUP($A67,S0!$C$2:$Y$89,21)/8 * VLOOKUP($I67,Atributos!$A$28:$B$31,2) * VLOOKUP($J67,Atributos!$A$22:$B$25,2)/5</f>
        <v>0</v>
      </c>
      <c r="P67" s="43">
        <f>+VLOOKUP($A67,S0!$C$2:$Y$89,22)/8 * VLOOKUP($I67,Atributos!$A$28:$B$31,2) * VLOOKUP($J67,Atributos!$A$22:$B$25,2)/5</f>
        <v>0</v>
      </c>
      <c r="Q67" s="43">
        <f>+VLOOKUP($A67,S0!$C$2:$Y$89,23)/8 * VLOOKUP($I67,Atributos!$A$28:$B$31,2) * VLOOKUP($J67,Atributos!$A$22:$B$25,2)/5</f>
        <v>0</v>
      </c>
      <c r="R67" s="43">
        <f t="shared" si="9"/>
        <v>0.375</v>
      </c>
      <c r="S67" s="43">
        <f>+(VLOOKUP($A67,S0!$C$2:$Y$89,19)/8 * VLOOKUP($I67,Atributos!$A$28:$B$31,2) * VLOOKUP($J67,Atributos!$G$22:$H$25,2))/5</f>
        <v>0</v>
      </c>
      <c r="T67" s="43">
        <f>+VLOOKUP($A67,S0!$C$2:$Y$89,20)/8 * VLOOKUP($I67,Atributos!$A$28:$B$31,2) * VLOOKUP($J67,Atributos!$G$22:$H$25,2)/5</f>
        <v>0</v>
      </c>
      <c r="U67" s="43">
        <f>+VLOOKUP($A67,S0!$C$2:$Y$89,21)/8 * VLOOKUP($I67,Atributos!$A$28:$B$31,2) * VLOOKUP($J67,Atributos!$G$22:$H$25,2)/5</f>
        <v>0</v>
      </c>
      <c r="V67" s="43">
        <f>+VLOOKUP($A67,S0!$C$2:$Y$89,22)/8 * VLOOKUP($I67,Atributos!$A$28:$B$31,2) * VLOOKUP($J67,Atributos!$G$22:$H$25,2)/5</f>
        <v>0</v>
      </c>
      <c r="W67" s="43">
        <f>+VLOOKUP($A67,S0!$C$2:$Y$89,23)/8 * VLOOKUP($I67,Atributos!$A$28:$B$31,2) * VLOOKUP($J67,Atributos!$G$22:$H$25,2)/5</f>
        <v>0</v>
      </c>
      <c r="X67" s="43">
        <f t="shared" si="8"/>
        <v>0</v>
      </c>
      <c r="Y67" s="87">
        <f t="shared" si="10"/>
        <v>0.1875</v>
      </c>
      <c r="Z67" s="87">
        <f t="shared" si="11"/>
        <v>0</v>
      </c>
      <c r="AA67" s="87">
        <f t="shared" si="12"/>
        <v>0</v>
      </c>
      <c r="AB67" s="87">
        <f t="shared" si="13"/>
        <v>0</v>
      </c>
      <c r="AC67" s="87">
        <f t="shared" si="14"/>
        <v>0</v>
      </c>
      <c r="AD67" s="87">
        <f t="shared" si="6"/>
        <v>0.1875</v>
      </c>
    </row>
    <row r="68" spans="1:30" ht="60" x14ac:dyDescent="0.25">
      <c r="A68" s="36" t="s">
        <v>474</v>
      </c>
      <c r="B68" s="63" t="str">
        <f>+VLOOKUP(A68,S0!$C$2:$I$89,7)</f>
        <v>PS</v>
      </c>
      <c r="C68" s="62" t="s">
        <v>712</v>
      </c>
      <c r="D68" s="62" t="s">
        <v>713</v>
      </c>
      <c r="E68" s="64" t="str">
        <f>+VLOOKUP(A68,S0!$C$2:$I$89,3)</f>
        <v>Creación, modificación y visualización de puestos de trabajo</v>
      </c>
      <c r="F68" s="64" t="str">
        <f>+VLOOKUP(A68,S0!$C$2:$I$89,4)</f>
        <v>Definición del uso de los puestos de trabajo en entorno de gestión de proyectos. Descripción de las principales vistas para la planificación y programación de capacidades.</v>
      </c>
      <c r="G68" s="64">
        <f>+VLOOKUP(A68,S0!$C$2:$I$89,5)</f>
        <v>0</v>
      </c>
      <c r="H68" s="64">
        <f>+VLOOKUP(A68,S0!$C$2:$I$89,6)</f>
        <v>0</v>
      </c>
      <c r="I68" s="46" t="s">
        <v>92</v>
      </c>
      <c r="J68" s="46" t="s">
        <v>87</v>
      </c>
      <c r="K68" s="99"/>
      <c r="L68" s="77">
        <f>+(VLOOKUP($A68,S0!$C$2:$Y$89,18)/8 * VLOOKUP($I68,Atributos!$A$28:$B$31,2) * VLOOKUP($J68,Atributos!$A$22:$B$25,2))/5</f>
        <v>3.7499999999999999E-2</v>
      </c>
      <c r="M68" s="37">
        <f>+(VLOOKUP($A68,S0!$C$2:$Y$89,19)/8 * VLOOKUP($I68,Atributos!$A$28:$B91,2) * VLOOKUP($J68,Atributos!$A$22:$B85,2))/5</f>
        <v>3.7499999999999999E-2</v>
      </c>
      <c r="N68" s="43">
        <f>+VLOOKUP($A68,S0!$C$2:$Y$89,20)/8 * VLOOKUP($I68,Atributos!$A$28:$B$31,2) * VLOOKUP($J68,Atributos!$A$22:$B$25,2)/5</f>
        <v>0.3</v>
      </c>
      <c r="O68" s="43">
        <f>+VLOOKUP($A68,S0!$C$2:$Y$89,21)/8 * VLOOKUP($I68,Atributos!$A$28:$B$31,2) * VLOOKUP($J68,Atributos!$A$22:$B$25,2)/5</f>
        <v>0.3</v>
      </c>
      <c r="P68" s="43">
        <f>+VLOOKUP($A68,S0!$C$2:$Y$89,22)/8 * VLOOKUP($I68,Atributos!$A$28:$B$31,2) * VLOOKUP($J68,Atributos!$A$22:$B$25,2)/5</f>
        <v>0.3</v>
      </c>
      <c r="Q68" s="43">
        <f>+VLOOKUP($A68,S0!$C$2:$Y$89,23)/8 * VLOOKUP($I68,Atributos!$A$28:$B$31,2) * VLOOKUP($J68,Atributos!$A$22:$B$25,2)/5</f>
        <v>0</v>
      </c>
      <c r="R68" s="43">
        <f t="shared" si="9"/>
        <v>0.9375</v>
      </c>
      <c r="S68" s="43">
        <f>+(VLOOKUP($A68,S0!$C$2:$Y$89,19)/8 * VLOOKUP($I68,Atributos!$A$28:$B$31,2) * VLOOKUP($J68,Atributos!$G$22:$H$25,2))/5</f>
        <v>2.5000000000000001E-2</v>
      </c>
      <c r="T68" s="43">
        <f>+VLOOKUP($A68,S0!$C$2:$Y$89,20)/8 * VLOOKUP($I68,Atributos!$A$28:$B$31,2) * VLOOKUP($J68,Atributos!$G$22:$H$25,2)/5</f>
        <v>0.2</v>
      </c>
      <c r="U68" s="43">
        <f>+VLOOKUP($A68,S0!$C$2:$Y$89,21)/8 * VLOOKUP($I68,Atributos!$A$28:$B$31,2) * VLOOKUP($J68,Atributos!$G$22:$H$25,2)/5</f>
        <v>0.2</v>
      </c>
      <c r="V68" s="43">
        <f>+VLOOKUP($A68,S0!$C$2:$Y$89,22)/8 * VLOOKUP($I68,Atributos!$A$28:$B$31,2) * VLOOKUP($J68,Atributos!$G$22:$H$25,2)/5</f>
        <v>0.2</v>
      </c>
      <c r="W68" s="43">
        <f>+VLOOKUP($A68,S0!$C$2:$Y$89,23)/8 * VLOOKUP($I68,Atributos!$A$28:$B$31,2) * VLOOKUP($J68,Atributos!$G$22:$H$25,2)/5</f>
        <v>0</v>
      </c>
      <c r="X68" s="43">
        <f t="shared" si="8"/>
        <v>0.625</v>
      </c>
      <c r="Y68" s="87">
        <f t="shared" si="10"/>
        <v>3.125E-2</v>
      </c>
      <c r="Z68" s="87">
        <f t="shared" si="11"/>
        <v>0.25</v>
      </c>
      <c r="AA68" s="87">
        <f t="shared" si="12"/>
        <v>0.25</v>
      </c>
      <c r="AB68" s="87">
        <f t="shared" si="13"/>
        <v>0.25</v>
      </c>
      <c r="AC68" s="87">
        <f t="shared" si="14"/>
        <v>0</v>
      </c>
      <c r="AD68" s="87">
        <f t="shared" si="6"/>
        <v>0.78125</v>
      </c>
    </row>
    <row r="69" spans="1:30" ht="105" x14ac:dyDescent="0.25">
      <c r="A69" s="36" t="s">
        <v>477</v>
      </c>
      <c r="B69" s="63" t="str">
        <f>+VLOOKUP(A69,S0!$C$2:$I$89,7)</f>
        <v>PS</v>
      </c>
      <c r="C69" s="62" t="s">
        <v>716</v>
      </c>
      <c r="D69" s="62" t="s">
        <v>717</v>
      </c>
      <c r="E69" s="64" t="str">
        <f>+VLOOKUP(A69,S0!$C$2:$I$89,3)</f>
        <v xml:space="preserve">Creación de proyecto, creación de elementos PEP en base a la estructura del proyecto. </v>
      </c>
      <c r="F69" s="64" t="str">
        <f>+VLOOKUP(A69,S0!$C$2:$I$89,4)</f>
        <v>Definición de la estructura de un proyecto. Asignación de perfiles de proyecto que le permite al sistema usar elementos PEP para el control de gastos así como para la ejecución de proyectos de inversión. Establecimiento de las fecha de inicio y fin de las diferentes etaptas, cálcular el costo planeado en base al detalle de materiales y servicios que se vayan a comprar para el proyecto.</v>
      </c>
      <c r="G69" s="64" t="str">
        <f>+VLOOKUP(A69,S0!$C$2:$I$89,5)</f>
        <v>Proyectos solo de elementos PEP.
Proyectos que incluyen grafos.</v>
      </c>
      <c r="H69" s="64">
        <f>+VLOOKUP(A69,S0!$C$2:$I$89,6)</f>
        <v>0</v>
      </c>
      <c r="I69" s="46" t="s">
        <v>92</v>
      </c>
      <c r="J69" s="46" t="s">
        <v>88</v>
      </c>
      <c r="K69" s="99" t="s">
        <v>629</v>
      </c>
      <c r="L69" s="77">
        <f>+(VLOOKUP($A69,S0!$C$2:$Y$89,18)/8 * VLOOKUP($I69,Atributos!$A$28:$B$31,2) * VLOOKUP($J69,Atributos!$A$22:$B$25,2))/5</f>
        <v>5.6250000000000001E-2</v>
      </c>
      <c r="M69" s="37">
        <f>+(VLOOKUP($A69,S0!$C$2:$Y$89,19)/8 * VLOOKUP($I69,Atributos!$A$28:$B92,2) * VLOOKUP($J69,Atributos!$A$22:$B86,2))/5</f>
        <v>0.15</v>
      </c>
      <c r="N69" s="43">
        <f>+VLOOKUP($A69,S0!$C$2:$Y$89,20)/8 * VLOOKUP($I69,Atributos!$A$28:$B$31,2) * VLOOKUP($J69,Atributos!$A$22:$B$25,2)/5</f>
        <v>0.9</v>
      </c>
      <c r="O69" s="43">
        <f>+VLOOKUP($A69,S0!$C$2:$Y$89,21)/8 * VLOOKUP($I69,Atributos!$A$28:$B$31,2) * VLOOKUP($J69,Atributos!$A$22:$B$25,2)/5</f>
        <v>1.8</v>
      </c>
      <c r="P69" s="43">
        <f>+VLOOKUP($A69,S0!$C$2:$Y$89,22)/8 * VLOOKUP($I69,Atributos!$A$28:$B$31,2) * VLOOKUP($J69,Atributos!$A$22:$B$25,2)/5</f>
        <v>0.45</v>
      </c>
      <c r="Q69" s="43">
        <f>+VLOOKUP($A69,S0!$C$2:$Y$89,23)/8 * VLOOKUP($I69,Atributos!$A$28:$B$31,2) * VLOOKUP($J69,Atributos!$A$22:$B$25,2)/5</f>
        <v>0.45</v>
      </c>
      <c r="R69" s="43">
        <f t="shared" si="9"/>
        <v>3.3000000000000003</v>
      </c>
      <c r="S69" s="43">
        <f>+(VLOOKUP($A69,S0!$C$2:$Y$89,19)/8 * VLOOKUP($I69,Atributos!$A$28:$B$31,2) * VLOOKUP($J69,Atributos!$G$22:$H$25,2))/5</f>
        <v>7.4999999999999997E-2</v>
      </c>
      <c r="T69" s="43">
        <f>+VLOOKUP($A69,S0!$C$2:$Y$89,20)/8 * VLOOKUP($I69,Atributos!$A$28:$B$31,2) * VLOOKUP($J69,Atributos!$G$22:$H$25,2)/5</f>
        <v>0.6</v>
      </c>
      <c r="U69" s="43">
        <f>+VLOOKUP($A69,S0!$C$2:$Y$89,21)/8 * VLOOKUP($I69,Atributos!$A$28:$B$31,2) * VLOOKUP($J69,Atributos!$G$22:$H$25,2)/5</f>
        <v>1.2</v>
      </c>
      <c r="V69" s="43">
        <f>+VLOOKUP($A69,S0!$C$2:$Y$89,22)/8 * VLOOKUP($I69,Atributos!$A$28:$B$31,2) * VLOOKUP($J69,Atributos!$G$22:$H$25,2)/5</f>
        <v>0.3</v>
      </c>
      <c r="W69" s="43">
        <f>+VLOOKUP($A69,S0!$C$2:$Y$89,23)/8 * VLOOKUP($I69,Atributos!$A$28:$B$31,2) * VLOOKUP($J69,Atributos!$G$22:$H$25,2)/5</f>
        <v>0.3</v>
      </c>
      <c r="X69" s="43">
        <f t="shared" si="8"/>
        <v>2.1749999999999998</v>
      </c>
      <c r="Y69" s="87">
        <f t="shared" si="10"/>
        <v>0.11249999999999999</v>
      </c>
      <c r="Z69" s="87">
        <f t="shared" si="11"/>
        <v>0.75</v>
      </c>
      <c r="AA69" s="87">
        <f t="shared" si="12"/>
        <v>1.5</v>
      </c>
      <c r="AB69" s="87">
        <f t="shared" si="13"/>
        <v>0.375</v>
      </c>
      <c r="AC69" s="87">
        <f t="shared" si="14"/>
        <v>0.375</v>
      </c>
      <c r="AD69" s="87">
        <f t="shared" si="6"/>
        <v>2.7374999999999998</v>
      </c>
    </row>
    <row r="70" spans="1:30" ht="165" x14ac:dyDescent="0.25">
      <c r="A70" s="36" t="s">
        <v>482</v>
      </c>
      <c r="B70" s="63" t="str">
        <f>+VLOOKUP(A70,S0!$C$2:$I$89,7)</f>
        <v>PS</v>
      </c>
      <c r="C70" s="62" t="s">
        <v>716</v>
      </c>
      <c r="D70" s="62" t="s">
        <v>717</v>
      </c>
      <c r="E70" s="64" t="str">
        <f>+VLOOKUP(A70,S0!$C$2:$I$89,3)</f>
        <v>Asignación, liberación y devolución de presupuesto asignado a los PEP del proyecto. Control de disponibilidad del presupuesto.</v>
      </c>
      <c r="F70" s="64" t="str">
        <f>+VLOOKUP(A70,S0!$C$2:$I$89,4)</f>
        <v>Establecer el presupuesto global del proyecto en base a la política de la empresa o en base a los costos planeados del proyecto; permite desagregar el presupuesto a cualquier nivel de la estructura PEP. Permite activar el control de disponibilidad para alertar al planificador cuando el presupuesto esté a un % de su agotamiento y puede impedir que se ejecuten más gastos y comprometidos cuando ya se ha agotado el presupuesto. También permite ampliar el presupuesto con suplementos y hacer traslados de presupuesto entre los diferentes niveles del proyecto.</v>
      </c>
      <c r="G70" s="64" t="str">
        <f>+VLOOKUP(A70,S0!$C$2:$I$89,5)</f>
        <v>Proyecto de gastos generales - OPEX.
Proyectos de inversión - CAPEX</v>
      </c>
      <c r="H70" s="64">
        <f>+VLOOKUP(A70,S0!$C$2:$I$89,6)</f>
        <v>0</v>
      </c>
      <c r="I70" s="46" t="s">
        <v>92</v>
      </c>
      <c r="J70" s="46" t="s">
        <v>87</v>
      </c>
      <c r="K70" s="99"/>
      <c r="L70" s="77">
        <f>+(VLOOKUP($A70,S0!$C$2:$Y$89,18)/8 * VLOOKUP($I70,Atributos!$A$28:$B$31,2) * VLOOKUP($J70,Atributos!$A$22:$B$25,2))/5</f>
        <v>3.7499999999999999E-2</v>
      </c>
      <c r="M70" s="37">
        <f>+(VLOOKUP($A70,S0!$C$2:$Y$89,19)/8 * VLOOKUP($I70,Atributos!$A$28:$B93,2) * VLOOKUP($J70,Atributos!$A$22:$B87,2))/5</f>
        <v>7.4999999999999997E-2</v>
      </c>
      <c r="N70" s="43">
        <f>+VLOOKUP($A70,S0!$C$2:$Y$89,20)/8 * VLOOKUP($I70,Atributos!$A$28:$B$31,2) * VLOOKUP($J70,Atributos!$A$22:$B$25,2)/5</f>
        <v>0.6</v>
      </c>
      <c r="O70" s="43">
        <f>+VLOOKUP($A70,S0!$C$2:$Y$89,21)/8 * VLOOKUP($I70,Atributos!$A$28:$B$31,2) * VLOOKUP($J70,Atributos!$A$22:$B$25,2)/5</f>
        <v>1.2</v>
      </c>
      <c r="P70" s="43">
        <f>+VLOOKUP($A70,S0!$C$2:$Y$89,22)/8 * VLOOKUP($I70,Atributos!$A$28:$B$31,2) * VLOOKUP($J70,Atributos!$A$22:$B$25,2)/5</f>
        <v>0.3</v>
      </c>
      <c r="Q70" s="43">
        <f>+VLOOKUP($A70,S0!$C$2:$Y$89,23)/8 * VLOOKUP($I70,Atributos!$A$28:$B$31,2) * VLOOKUP($J70,Atributos!$A$22:$B$25,2)/5</f>
        <v>0.3</v>
      </c>
      <c r="R70" s="43">
        <f t="shared" si="9"/>
        <v>2.1749999999999998</v>
      </c>
      <c r="S70" s="43">
        <f>+(VLOOKUP($A70,S0!$C$2:$Y$89,19)/8 * VLOOKUP($I70,Atributos!$A$28:$B$31,2) * VLOOKUP($J70,Atributos!$G$22:$H$25,2))/5</f>
        <v>0.05</v>
      </c>
      <c r="T70" s="43">
        <f>+VLOOKUP($A70,S0!$C$2:$Y$89,20)/8 * VLOOKUP($I70,Atributos!$A$28:$B$31,2) * VLOOKUP($J70,Atributos!$G$22:$H$25,2)/5</f>
        <v>0.4</v>
      </c>
      <c r="U70" s="43">
        <f>+VLOOKUP($A70,S0!$C$2:$Y$89,21)/8 * VLOOKUP($I70,Atributos!$A$28:$B$31,2) * VLOOKUP($J70,Atributos!$G$22:$H$25,2)/5</f>
        <v>0.8</v>
      </c>
      <c r="V70" s="43">
        <f>+VLOOKUP($A70,S0!$C$2:$Y$89,22)/8 * VLOOKUP($I70,Atributos!$A$28:$B$31,2) * VLOOKUP($J70,Atributos!$G$22:$H$25,2)/5</f>
        <v>0.2</v>
      </c>
      <c r="W70" s="43">
        <f>+VLOOKUP($A70,S0!$C$2:$Y$89,23)/8 * VLOOKUP($I70,Atributos!$A$28:$B$31,2) * VLOOKUP($J70,Atributos!$G$22:$H$25,2)/5</f>
        <v>0.2</v>
      </c>
      <c r="X70" s="43">
        <f t="shared" si="8"/>
        <v>1.45</v>
      </c>
      <c r="Y70" s="87">
        <f t="shared" si="10"/>
        <v>6.25E-2</v>
      </c>
      <c r="Z70" s="87">
        <f t="shared" si="11"/>
        <v>0.5</v>
      </c>
      <c r="AA70" s="87">
        <f t="shared" si="12"/>
        <v>1</v>
      </c>
      <c r="AB70" s="87">
        <f t="shared" si="13"/>
        <v>0.25</v>
      </c>
      <c r="AC70" s="87">
        <f t="shared" si="14"/>
        <v>0.25</v>
      </c>
      <c r="AD70" s="87">
        <f t="shared" si="6"/>
        <v>1.8125</v>
      </c>
    </row>
    <row r="71" spans="1:30" ht="105" x14ac:dyDescent="0.25">
      <c r="A71" s="36" t="s">
        <v>486</v>
      </c>
      <c r="B71" s="63" t="str">
        <f>+VLOOKUP(A71,S0!$C$2:$I$89,7)</f>
        <v>PS</v>
      </c>
      <c r="C71" s="62" t="s">
        <v>718</v>
      </c>
      <c r="D71" s="62" t="s">
        <v>719</v>
      </c>
      <c r="E71" s="64" t="str">
        <f>+VLOOKUP(A71,S0!$C$2:$I$89,3)</f>
        <v>Imputación de costos a elementos PEP. Notificación de actividades.</v>
      </c>
      <c r="F71" s="64" t="str">
        <f>+VLOOKUP(A71,S0!$C$2:$I$89,4)</f>
        <v>La ejecución de los proyectos inicia con la liberación del proyecto. Con esto, las diferentes áreas que participan en el proyecto pueden asignar sus actividades a los elementos PEP que les corresponda. Generalmente está integrado a la logística de compras (Compras imputadas) y a la contabilidad dado que en dichas áreas se permiten imputaciones a elementos PEP.</v>
      </c>
      <c r="G71" s="64" t="str">
        <f>+VLOOKUP(A71,S0!$C$2:$I$89,5)</f>
        <v>Proyecto de gastos generales - OPEX.
Proyectos de inversión - CAPEX</v>
      </c>
      <c r="H71" s="64">
        <f>+VLOOKUP(A71,S0!$C$2:$I$89,6)</f>
        <v>0</v>
      </c>
      <c r="I71" s="46" t="s">
        <v>92</v>
      </c>
      <c r="J71" s="46" t="s">
        <v>87</v>
      </c>
      <c r="K71" s="99"/>
      <c r="L71" s="77">
        <f>+(VLOOKUP($A71,S0!$C$2:$Y$89,18)/8 * VLOOKUP($I71,Atributos!$A$28:$B$31,2) * VLOOKUP($J71,Atributos!$A$22:$B$25,2))/5</f>
        <v>3.7499999999999999E-2</v>
      </c>
      <c r="M71" s="37">
        <f>+(VLOOKUP($A71,S0!$C$2:$Y$89,19)/8 * VLOOKUP($I71,Atributos!$A$28:$B94,2) * VLOOKUP($J71,Atributos!$A$22:$B88,2))/5</f>
        <v>0.1</v>
      </c>
      <c r="N71" s="43">
        <f>+VLOOKUP($A71,S0!$C$2:$Y$89,20)/8 * VLOOKUP($I71,Atributos!$A$28:$B$31,2) * VLOOKUP($J71,Atributos!$A$22:$B$25,2)/5</f>
        <v>0.6</v>
      </c>
      <c r="O71" s="43">
        <f>+VLOOKUP($A71,S0!$C$2:$Y$89,21)/8 * VLOOKUP($I71,Atributos!$A$28:$B$31,2) * VLOOKUP($J71,Atributos!$A$22:$B$25,2)/5</f>
        <v>1.2</v>
      </c>
      <c r="P71" s="43">
        <f>+VLOOKUP($A71,S0!$C$2:$Y$89,22)/8 * VLOOKUP($I71,Atributos!$A$28:$B$31,2) * VLOOKUP($J71,Atributos!$A$22:$B$25,2)/5</f>
        <v>0.3</v>
      </c>
      <c r="Q71" s="43">
        <f>+VLOOKUP($A71,S0!$C$2:$Y$89,23)/8 * VLOOKUP($I71,Atributos!$A$28:$B$31,2) * VLOOKUP($J71,Atributos!$A$22:$B$25,2)/5</f>
        <v>0.3</v>
      </c>
      <c r="R71" s="43">
        <f t="shared" si="9"/>
        <v>2.1999999999999997</v>
      </c>
      <c r="S71" s="43">
        <f>+(VLOOKUP($A71,S0!$C$2:$Y$89,19)/8 * VLOOKUP($I71,Atributos!$A$28:$B$31,2) * VLOOKUP($J71,Atributos!$G$22:$H$25,2))/5</f>
        <v>0.05</v>
      </c>
      <c r="T71" s="43">
        <f>+VLOOKUP($A71,S0!$C$2:$Y$89,20)/8 * VLOOKUP($I71,Atributos!$A$28:$B$31,2) * VLOOKUP($J71,Atributos!$G$22:$H$25,2)/5</f>
        <v>0.4</v>
      </c>
      <c r="U71" s="43">
        <f>+VLOOKUP($A71,S0!$C$2:$Y$89,21)/8 * VLOOKUP($I71,Atributos!$A$28:$B$31,2) * VLOOKUP($J71,Atributos!$G$22:$H$25,2)/5</f>
        <v>0.8</v>
      </c>
      <c r="V71" s="43">
        <f>+VLOOKUP($A71,S0!$C$2:$Y$89,22)/8 * VLOOKUP($I71,Atributos!$A$28:$B$31,2) * VLOOKUP($J71,Atributos!$G$22:$H$25,2)/5</f>
        <v>0.2</v>
      </c>
      <c r="W71" s="43">
        <f>+VLOOKUP($A71,S0!$C$2:$Y$89,23)/8 * VLOOKUP($I71,Atributos!$A$28:$B$31,2) * VLOOKUP($J71,Atributos!$G$22:$H$25,2)/5</f>
        <v>0.2</v>
      </c>
      <c r="X71" s="43">
        <f t="shared" si="8"/>
        <v>1.45</v>
      </c>
      <c r="Y71" s="87">
        <f t="shared" si="10"/>
        <v>7.5000000000000011E-2</v>
      </c>
      <c r="Z71" s="87">
        <f t="shared" si="11"/>
        <v>0.5</v>
      </c>
      <c r="AA71" s="87">
        <f t="shared" si="12"/>
        <v>1</v>
      </c>
      <c r="AB71" s="87">
        <f t="shared" si="13"/>
        <v>0.25</v>
      </c>
      <c r="AC71" s="87">
        <f t="shared" si="14"/>
        <v>0.25</v>
      </c>
      <c r="AD71" s="87">
        <f t="shared" si="6"/>
        <v>1.825</v>
      </c>
    </row>
    <row r="72" spans="1:30" ht="135" x14ac:dyDescent="0.25">
      <c r="A72" s="36" t="s">
        <v>489</v>
      </c>
      <c r="B72" s="63" t="str">
        <f>+VLOOKUP(A72,S0!$C$2:$I$89,7)</f>
        <v>PS</v>
      </c>
      <c r="C72" s="62" t="s">
        <v>721</v>
      </c>
      <c r="D72" s="62" t="s">
        <v>720</v>
      </c>
      <c r="E72" s="64" t="str">
        <f>+VLOOKUP(A72,S0!$C$2:$I$89,3)</f>
        <v>Cierre técnico, liquidación periódica, liquidación total, cierre total de proyectos.</v>
      </c>
      <c r="F72" s="64" t="str">
        <f>+VLOOKUP(A72,S0!$C$2:$I$89,4)</f>
        <v>Cada cierre de mes, a pesar que no se ha concluido un proyecto, se debe realizar la liquidación para que los costos del proyecto se vena reflejados en el gasto a través de centros de costo o en un activo fijo en curso. Si el proyecto ha concluido, el cierre técnico es la señal para que en la liquidación se realice la liquidación total del proyecto; con la liquidación total se puede proceder al cierre total del proyecto. El cierre total impedirá que se signa contabilizando partidas al proyecto.</v>
      </c>
      <c r="G72" s="64" t="str">
        <f>+VLOOKUP(A72,S0!$C$2:$I$89,5)</f>
        <v>Liquidaciones contra centros de costo.
Liquidación contra Activos Fijos.
Liquidación con medidas de inversión.
Traslado a AF finales.</v>
      </c>
      <c r="H72" s="64">
        <f>+VLOOKUP(A72,S0!$C$2:$I$89,6)</f>
        <v>0</v>
      </c>
      <c r="I72" s="46" t="s">
        <v>92</v>
      </c>
      <c r="J72" s="46" t="s">
        <v>88</v>
      </c>
      <c r="K72" s="99" t="s">
        <v>630</v>
      </c>
      <c r="L72" s="77">
        <f>+(VLOOKUP($A72,S0!$C$2:$Y$89,18)/8 * VLOOKUP($I72,Atributos!$A$28:$B$31,2) * VLOOKUP($J72,Atributos!$A$22:$B$25,2))/5</f>
        <v>5.6250000000000001E-2</v>
      </c>
      <c r="M72" s="37">
        <f>+(VLOOKUP($A72,S0!$C$2:$Y$89,19)/8 * VLOOKUP($I72,Atributos!$A$28:$B95,2) * VLOOKUP($J72,Atributos!$A$22:$B89,2))/5</f>
        <v>0</v>
      </c>
      <c r="N72" s="43">
        <f>+VLOOKUP($A72,S0!$C$2:$Y$89,20)/8 * VLOOKUP($I72,Atributos!$A$28:$B$31,2) * VLOOKUP($J72,Atributos!$A$22:$B$25,2)/5</f>
        <v>0.9</v>
      </c>
      <c r="O72" s="43">
        <f>+VLOOKUP($A72,S0!$C$2:$Y$89,21)/8 * VLOOKUP($I72,Atributos!$A$28:$B$31,2) * VLOOKUP($J72,Atributos!$A$22:$B$25,2)/5</f>
        <v>1.8</v>
      </c>
      <c r="P72" s="43">
        <f>+VLOOKUP($A72,S0!$C$2:$Y$89,22)/8 * VLOOKUP($I72,Atributos!$A$28:$B$31,2) * VLOOKUP($J72,Atributos!$A$22:$B$25,2)/5</f>
        <v>0.45</v>
      </c>
      <c r="Q72" s="43">
        <f>+VLOOKUP($A72,S0!$C$2:$Y$89,23)/8 * VLOOKUP($I72,Atributos!$A$28:$B$31,2) * VLOOKUP($J72,Atributos!$A$22:$B$25,2)/5</f>
        <v>0.45</v>
      </c>
      <c r="R72" s="43">
        <f t="shared" ref="R72:R95" si="15">SUM(M72:P72)</f>
        <v>3.1500000000000004</v>
      </c>
      <c r="S72" s="43">
        <f>+(VLOOKUP($A72,S0!$C$2:$Y$89,19)/8 * VLOOKUP($I72,Atributos!$A$28:$B$31,2) * VLOOKUP($J72,Atributos!$G$22:$H$25,2))/5</f>
        <v>7.4999999999999997E-2</v>
      </c>
      <c r="T72" s="43">
        <f>+VLOOKUP($A72,S0!$C$2:$Y$89,20)/8 * VLOOKUP($I72,Atributos!$A$28:$B$31,2) * VLOOKUP($J72,Atributos!$G$22:$H$25,2)/5</f>
        <v>0.6</v>
      </c>
      <c r="U72" s="43">
        <f>+VLOOKUP($A72,S0!$C$2:$Y$89,21)/8 * VLOOKUP($I72,Atributos!$A$28:$B$31,2) * VLOOKUP($J72,Atributos!$G$22:$H$25,2)/5</f>
        <v>1.2</v>
      </c>
      <c r="V72" s="43">
        <f>+VLOOKUP($A72,S0!$C$2:$Y$89,22)/8 * VLOOKUP($I72,Atributos!$A$28:$B$31,2) * VLOOKUP($J72,Atributos!$G$22:$H$25,2)/5</f>
        <v>0.3</v>
      </c>
      <c r="W72" s="43">
        <f>+VLOOKUP($A72,S0!$C$2:$Y$89,23)/8 * VLOOKUP($I72,Atributos!$A$28:$B$31,2) * VLOOKUP($J72,Atributos!$G$22:$H$25,2)/5</f>
        <v>0.3</v>
      </c>
      <c r="X72" s="43">
        <f t="shared" si="8"/>
        <v>2.1749999999999998</v>
      </c>
      <c r="Y72" s="87">
        <f t="shared" ref="Y72:Y95" si="16">(S72+M72)/2</f>
        <v>3.7499999999999999E-2</v>
      </c>
      <c r="Z72" s="87">
        <f t="shared" ref="Z72:Z95" si="17">(T72+N72)/2</f>
        <v>0.75</v>
      </c>
      <c r="AA72" s="87">
        <f t="shared" ref="AA72:AA95" si="18">(U72+O72)/2</f>
        <v>1.5</v>
      </c>
      <c r="AB72" s="87">
        <f t="shared" ref="AB72:AB95" si="19">(V72+P72)/2</f>
        <v>0.375</v>
      </c>
      <c r="AC72" s="87">
        <f t="shared" ref="AC72:AC95" si="20">(W72+Q72)/2</f>
        <v>0.375</v>
      </c>
      <c r="AD72" s="87">
        <f t="shared" si="6"/>
        <v>2.6625000000000001</v>
      </c>
    </row>
    <row r="73" spans="1:30" ht="105" x14ac:dyDescent="0.25">
      <c r="A73" s="36" t="s">
        <v>493</v>
      </c>
      <c r="B73" s="63" t="str">
        <f>+VLOOKUP(A73,S0!$C$2:$I$89,7)</f>
        <v>PS</v>
      </c>
      <c r="C73" s="62" t="s">
        <v>721</v>
      </c>
      <c r="D73" s="62" t="s">
        <v>720</v>
      </c>
      <c r="E73" s="64" t="str">
        <f>+VLOOKUP(A73,S0!$C$2:$I$89,3)</f>
        <v>Seguimiento de proyectos.
Estructura de proyecto.
Seguimiento de avance, presupuesto asignado, comprometido y disponible.
Costo detallado de proyecto.</v>
      </c>
      <c r="F73" s="64" t="str">
        <f>+VLOOKUP(A73,S0!$C$2:$I$89,4)</f>
        <v>Periódicamente se revisa la salud del proyecto en base al avance que se reporta de manera integrada con las áreas que intervienen en el proyecto. Todo documento imputado al proyecto compromete presupuesto y rebaja la disponibilidad del mismo, asímismo se tiene una trazabilidad de todas las partidas que se han contabilizado al proyecto.</v>
      </c>
      <c r="G73" s="64">
        <f>+VLOOKUP(A73,S0!$C$2:$I$89,5)</f>
        <v>0</v>
      </c>
      <c r="H73" s="64" t="str">
        <f>+VLOOKUP(A73,S0!$C$2:$I$89,6)</f>
        <v>No contempla % de avance del proyecto.
No contempla curva S</v>
      </c>
      <c r="I73" s="46" t="s">
        <v>92</v>
      </c>
      <c r="J73" s="46" t="s">
        <v>87</v>
      </c>
      <c r="K73" s="99"/>
      <c r="L73" s="77">
        <f>+(VLOOKUP($A73,S0!$C$2:$Y$89,18)/8 * VLOOKUP($I73,Atributos!$A$28:$B$31,2) * VLOOKUP($J73,Atributos!$A$22:$B$25,2))/5</f>
        <v>3.7499999999999999E-2</v>
      </c>
      <c r="M73" s="37">
        <f>+(VLOOKUP($A73,S0!$C$2:$Y$89,19)/8 * VLOOKUP($I73,Atributos!$A$28:$B96,2) * VLOOKUP($J73,Atributos!$A$22:$B90,2))/5</f>
        <v>0.1</v>
      </c>
      <c r="N73" s="43">
        <f>+VLOOKUP($A73,S0!$C$2:$Y$89,20)/8 * VLOOKUP($I73,Atributos!$A$28:$B$31,2) * VLOOKUP($J73,Atributos!$A$22:$B$25,2)/5</f>
        <v>0.15</v>
      </c>
      <c r="O73" s="43">
        <f>+VLOOKUP($A73,S0!$C$2:$Y$89,21)/8 * VLOOKUP($I73,Atributos!$A$28:$B$31,2) * VLOOKUP($J73,Atributos!$A$22:$B$25,2)/5</f>
        <v>0.6</v>
      </c>
      <c r="P73" s="43">
        <f>+VLOOKUP($A73,S0!$C$2:$Y$89,22)/8 * VLOOKUP($I73,Atributos!$A$28:$B$31,2) * VLOOKUP($J73,Atributos!$A$22:$B$25,2)/5</f>
        <v>0</v>
      </c>
      <c r="Q73" s="43">
        <f>+VLOOKUP($A73,S0!$C$2:$Y$89,23)/8 * VLOOKUP($I73,Atributos!$A$28:$B$31,2) * VLOOKUP($J73,Atributos!$A$22:$B$25,2)/5</f>
        <v>0.3</v>
      </c>
      <c r="R73" s="43">
        <f t="shared" si="15"/>
        <v>0.85</v>
      </c>
      <c r="S73" s="43">
        <f>+(VLOOKUP($A73,S0!$C$2:$Y$89,19)/8 * VLOOKUP($I73,Atributos!$A$28:$B$31,2) * VLOOKUP($J73,Atributos!$G$22:$H$25,2))/5</f>
        <v>0.05</v>
      </c>
      <c r="T73" s="43">
        <f>+VLOOKUP($A73,S0!$C$2:$Y$89,20)/8 * VLOOKUP($I73,Atributos!$A$28:$B$31,2) * VLOOKUP($J73,Atributos!$G$22:$H$25,2)/5</f>
        <v>0.1</v>
      </c>
      <c r="U73" s="43">
        <f>+VLOOKUP($A73,S0!$C$2:$Y$89,21)/8 * VLOOKUP($I73,Atributos!$A$28:$B$31,2) * VLOOKUP($J73,Atributos!$G$22:$H$25,2)/5</f>
        <v>0.4</v>
      </c>
      <c r="V73" s="43">
        <f>+VLOOKUP($A73,S0!$C$2:$Y$89,22)/8 * VLOOKUP($I73,Atributos!$A$28:$B$31,2) * VLOOKUP($J73,Atributos!$G$22:$H$25,2)/5</f>
        <v>0</v>
      </c>
      <c r="W73" s="43">
        <f>+VLOOKUP($A73,S0!$C$2:$Y$89,23)/8 * VLOOKUP($I73,Atributos!$A$28:$B$31,2) * VLOOKUP($J73,Atributos!$G$22:$H$25,2)/5</f>
        <v>0.2</v>
      </c>
      <c r="X73" s="43">
        <f t="shared" si="8"/>
        <v>0.55000000000000004</v>
      </c>
      <c r="Y73" s="87">
        <f t="shared" si="16"/>
        <v>7.5000000000000011E-2</v>
      </c>
      <c r="Z73" s="87">
        <f t="shared" si="17"/>
        <v>0.125</v>
      </c>
      <c r="AA73" s="87">
        <f t="shared" si="18"/>
        <v>0.5</v>
      </c>
      <c r="AB73" s="87">
        <f t="shared" si="19"/>
        <v>0</v>
      </c>
      <c r="AC73" s="87">
        <f t="shared" si="20"/>
        <v>0.25</v>
      </c>
      <c r="AD73" s="87">
        <f t="shared" ref="AD73:AD95" si="21">SUM(Y73:AB73)</f>
        <v>0.7</v>
      </c>
    </row>
    <row r="74" spans="1:30" ht="135" x14ac:dyDescent="0.25">
      <c r="A74" s="36" t="s">
        <v>497</v>
      </c>
      <c r="B74" s="63" t="str">
        <f>+VLOOKUP(A74,S0!$C$2:$I$89,7)</f>
        <v>QM</v>
      </c>
      <c r="C74" s="62" t="s">
        <v>712</v>
      </c>
      <c r="D74" s="62" t="s">
        <v>713</v>
      </c>
      <c r="E74" s="64" t="str">
        <f>+VLOOKUP(A74,S0!$C$2:$I$89,3)</f>
        <v>Catalogos
Características de inspección
Procedimientos de muestreo
Métodos de inspección
Puestos de trabajo
Planes de inspección</v>
      </c>
      <c r="F74" s="64" t="str">
        <f>+VLOOKUP(A74,S0!$C$2:$I$89,4)</f>
        <v>En SAP S/4HANA la gestión de datos maestros permite a la organización contar con información centralizada y homogénea para realizar los diversos procesos integrados de la empresa. Los datos maestros permiten construir las especificaciones de calidad de los procesos y productos; también permiten registrar los acuerdos de calidad de proveedores. Estos datos sirven para planificar el control de calidad ya que en ellos residen los valores de aceptación de los análisis de las muestras.  </v>
      </c>
      <c r="G74" s="64" t="str">
        <f>+VLOOKUP(A74,S0!$C$2:$I$89,5)</f>
        <v>Catálogo de características.
Conjuntos de selección</v>
      </c>
      <c r="H74" s="64">
        <f>+VLOOKUP(A74,S0!$C$2:$I$89,6)</f>
        <v>0</v>
      </c>
      <c r="I74" s="46" t="s">
        <v>95</v>
      </c>
      <c r="J74" s="46" t="s">
        <v>87</v>
      </c>
      <c r="K74" s="99"/>
      <c r="L74" s="77">
        <f>+(VLOOKUP($A74,S0!$C$2:$Y$89,18)/8 * VLOOKUP($I74,Atributos!$A$28:$B$31,2) * VLOOKUP($J74,Atributos!$A$22:$B$25,2))/5</f>
        <v>0</v>
      </c>
      <c r="M74" s="37">
        <f>+(VLOOKUP($A74,S0!$C$2:$Y$89,19)/8 * VLOOKUP($I74,Atributos!$A$28:$B97,2) * VLOOKUP($J74,Atributos!$A$22:$B91,2))/5</f>
        <v>0</v>
      </c>
      <c r="N74" s="43">
        <f>+VLOOKUP($A74,S0!$C$2:$Y$89,20)/8 * VLOOKUP($I74,Atributos!$A$28:$B$31,2) * VLOOKUP($J74,Atributos!$A$22:$B$25,2)/5</f>
        <v>0</v>
      </c>
      <c r="O74" s="43">
        <f>+VLOOKUP($A74,S0!$C$2:$Y$89,21)/8 * VLOOKUP($I74,Atributos!$A$28:$B$31,2) * VLOOKUP($J74,Atributos!$A$22:$B$25,2)/5</f>
        <v>0</v>
      </c>
      <c r="P74" s="43">
        <f>+VLOOKUP($A74,S0!$C$2:$Y$89,22)/8 * VLOOKUP($I74,Atributos!$A$28:$B$31,2) * VLOOKUP($J74,Atributos!$A$22:$B$25,2)/5</f>
        <v>0</v>
      </c>
      <c r="Q74" s="43">
        <f>+VLOOKUP($A74,S0!$C$2:$Y$89,23)/8 * VLOOKUP($I74,Atributos!$A$28:$B$31,2) * VLOOKUP($J74,Atributos!$A$22:$B$25,2)/5</f>
        <v>0</v>
      </c>
      <c r="R74" s="43">
        <f t="shared" si="15"/>
        <v>0</v>
      </c>
      <c r="S74" s="43">
        <f>+(VLOOKUP($A74,S0!$C$2:$Y$89,19)/8 * VLOOKUP($I74,Atributos!$A$28:$B$31,2) * VLOOKUP($J74,Atributos!$G$22:$H$25,2))/5</f>
        <v>0</v>
      </c>
      <c r="T74" s="43">
        <f>+VLOOKUP($A74,S0!$C$2:$Y$89,20)/8 * VLOOKUP($I74,Atributos!$A$28:$B$31,2) * VLOOKUP($J74,Atributos!$G$22:$H$25,2)/5</f>
        <v>0</v>
      </c>
      <c r="U74" s="43">
        <f>+VLOOKUP($A74,S0!$C$2:$Y$89,21)/8 * VLOOKUP($I74,Atributos!$A$28:$B$31,2) * VLOOKUP($J74,Atributos!$G$22:$H$25,2)/5</f>
        <v>0</v>
      </c>
      <c r="V74" s="43">
        <f>+VLOOKUP($A74,S0!$C$2:$Y$89,22)/8 * VLOOKUP($I74,Atributos!$A$28:$B$31,2) * VLOOKUP($J74,Atributos!$G$22:$H$25,2)/5</f>
        <v>0</v>
      </c>
      <c r="W74" s="43">
        <f>+VLOOKUP($A74,S0!$C$2:$Y$89,23)/8 * VLOOKUP($I74,Atributos!$A$28:$B$31,2) * VLOOKUP($J74,Atributos!$G$22:$H$25,2)/5</f>
        <v>0</v>
      </c>
      <c r="X74" s="43">
        <f t="shared" si="8"/>
        <v>0</v>
      </c>
      <c r="Y74" s="87">
        <f t="shared" si="16"/>
        <v>0</v>
      </c>
      <c r="Z74" s="87">
        <f t="shared" si="17"/>
        <v>0</v>
      </c>
      <c r="AA74" s="87">
        <f t="shared" si="18"/>
        <v>0</v>
      </c>
      <c r="AB74" s="87">
        <f t="shared" si="19"/>
        <v>0</v>
      </c>
      <c r="AC74" s="87">
        <f t="shared" si="20"/>
        <v>0</v>
      </c>
      <c r="AD74" s="87">
        <f t="shared" si="21"/>
        <v>0</v>
      </c>
    </row>
    <row r="75" spans="1:30" ht="150" x14ac:dyDescent="0.25">
      <c r="A75" s="36" t="s">
        <v>504</v>
      </c>
      <c r="B75" s="63" t="str">
        <f>+VLOOKUP(A75,S0!$C$2:$I$89,7)</f>
        <v>QM</v>
      </c>
      <c r="C75" s="117" t="s">
        <v>505</v>
      </c>
      <c r="D75" s="62" t="s">
        <v>723</v>
      </c>
      <c r="E75" s="64" t="str">
        <f>+VLOOKUP(A75,S0!$C$2:$I$89,3)</f>
        <v>Creación de lote de inspección. Registro de resultados. Decisión de empleo</v>
      </c>
      <c r="F75" s="64" t="str">
        <f>+VLOOKUP(A75,S0!$C$2:$I$89,4)</f>
        <v>Define el tratamiento de las inspecciones en los procesos de compra. Inicia con la creación del lote de inspección de manera automática cuando en el almacén se hace la recepción de la mercadería. El lote entra al estado de control de calidad. En este estado sólo el área de calidad puede darle un tratamiento. Luego se registran los resultados de las muestras de acuerdo al plan de inspección. Finalmente se registra la decisión de empleo en el que se determina si el lote debe ser liberado, bloqueado o devuelto.</v>
      </c>
      <c r="G75" s="64" t="str">
        <f>+VLOOKUP(A75,S0!$C$2:$I$89,5)</f>
        <v>Lotes contabilizados en la EM de las órdenes de compra.</v>
      </c>
      <c r="H75" s="64" t="str">
        <f>+VLOOKUP(A75,S0!$C$2:$I$89,6)</f>
        <v>Inspección adelantada sin EM.</v>
      </c>
      <c r="I75" s="46" t="s">
        <v>95</v>
      </c>
      <c r="J75" s="46" t="s">
        <v>87</v>
      </c>
      <c r="K75" s="99"/>
      <c r="L75" s="77">
        <f>+(VLOOKUP($A75,S0!$C$2:$Y$89,18)/8 * VLOOKUP($I75,Atributos!$A$28:$B$31,2) * VLOOKUP($J75,Atributos!$A$22:$B$25,2))/5</f>
        <v>0</v>
      </c>
      <c r="M75" s="37">
        <f>+(VLOOKUP($A75,S0!$C$2:$Y$89,19)/8 * VLOOKUP($I75,Atributos!$A$28:$B98,2) * VLOOKUP($J75,Atributos!$A$22:$B92,2))/5</f>
        <v>0</v>
      </c>
      <c r="N75" s="43">
        <f>+VLOOKUP($A75,S0!$C$2:$Y$89,20)/8 * VLOOKUP($I75,Atributos!$A$28:$B$31,2) * VLOOKUP($J75,Atributos!$A$22:$B$25,2)/5</f>
        <v>0</v>
      </c>
      <c r="O75" s="43">
        <f>+VLOOKUP($A75,S0!$C$2:$Y$89,21)/8 * VLOOKUP($I75,Atributos!$A$28:$B$31,2) * VLOOKUP($J75,Atributos!$A$22:$B$25,2)/5</f>
        <v>0</v>
      </c>
      <c r="P75" s="43">
        <f>+VLOOKUP($A75,S0!$C$2:$Y$89,22)/8 * VLOOKUP($I75,Atributos!$A$28:$B$31,2) * VLOOKUP($J75,Atributos!$A$22:$B$25,2)/5</f>
        <v>0</v>
      </c>
      <c r="Q75" s="43">
        <f>+VLOOKUP($A75,S0!$C$2:$Y$89,23)/8 * VLOOKUP($I75,Atributos!$A$28:$B$31,2) * VLOOKUP($J75,Atributos!$A$22:$B$25,2)/5</f>
        <v>0</v>
      </c>
      <c r="R75" s="43">
        <f t="shared" si="15"/>
        <v>0</v>
      </c>
      <c r="S75" s="43">
        <f>+(VLOOKUP($A75,S0!$C$2:$Y$89,19)/8 * VLOOKUP($I75,Atributos!$A$28:$B$31,2) * VLOOKUP($J75,Atributos!$G$22:$H$25,2))/5</f>
        <v>0</v>
      </c>
      <c r="T75" s="43">
        <f>+VLOOKUP($A75,S0!$C$2:$Y$89,20)/8 * VLOOKUP($I75,Atributos!$A$28:$B$31,2) * VLOOKUP($J75,Atributos!$G$22:$H$25,2)/5</f>
        <v>0</v>
      </c>
      <c r="U75" s="43">
        <f>+VLOOKUP($A75,S0!$C$2:$Y$89,21)/8 * VLOOKUP($I75,Atributos!$A$28:$B$31,2) * VLOOKUP($J75,Atributos!$G$22:$H$25,2)/5</f>
        <v>0</v>
      </c>
      <c r="V75" s="43">
        <f>+VLOOKUP($A75,S0!$C$2:$Y$89,22)/8 * VLOOKUP($I75,Atributos!$A$28:$B$31,2) * VLOOKUP($J75,Atributos!$G$22:$H$25,2)/5</f>
        <v>0</v>
      </c>
      <c r="W75" s="43">
        <f>+VLOOKUP($A75,S0!$C$2:$Y$89,23)/8 * VLOOKUP($I75,Atributos!$A$28:$B$31,2) * VLOOKUP($J75,Atributos!$G$22:$H$25,2)/5</f>
        <v>0</v>
      </c>
      <c r="X75" s="43">
        <f t="shared" si="8"/>
        <v>0</v>
      </c>
      <c r="Y75" s="87">
        <f t="shared" si="16"/>
        <v>0</v>
      </c>
      <c r="Z75" s="87">
        <f t="shared" si="17"/>
        <v>0</v>
      </c>
      <c r="AA75" s="87">
        <f t="shared" si="18"/>
        <v>0</v>
      </c>
      <c r="AB75" s="87">
        <f t="shared" si="19"/>
        <v>0</v>
      </c>
      <c r="AC75" s="87">
        <f t="shared" si="20"/>
        <v>0</v>
      </c>
      <c r="AD75" s="87">
        <f t="shared" si="21"/>
        <v>0</v>
      </c>
    </row>
    <row r="76" spans="1:30" ht="150" x14ac:dyDescent="0.25">
      <c r="A76" s="36" t="s">
        <v>510</v>
      </c>
      <c r="B76" s="63" t="str">
        <f>+VLOOKUP(A76,S0!$C$2:$I$89,7)</f>
        <v>QM</v>
      </c>
      <c r="C76" s="118" t="s">
        <v>724</v>
      </c>
      <c r="D76" s="62" t="s">
        <v>725</v>
      </c>
      <c r="E76" s="64" t="str">
        <f>+VLOOKUP(A76,S0!$C$2:$I$89,3)</f>
        <v>Creación de lote de inspección. Registro de resultados. Decisión de empleo</v>
      </c>
      <c r="F76" s="64" t="str">
        <f>+VLOOKUP(A76,S0!$C$2:$I$89,4)</f>
        <v>Define el tratamiento de las inspecciones en producción. Inicia con la creación del lote de inspección de manera automática cuando inicia el proceso productivo. Luego cuando en el almacén se hace la recepción de la mercadería el lote entra al estado de control de calidad, en este estado sólo el área de calidad puede darle un tratamiento. Luego se registran los resultados de las muestras de acuerdo con el plan de inspección. Finalmente se registra la decisión de empleo que determina si el lote debe ser liberado o rechazado. </v>
      </c>
      <c r="G76" s="64" t="str">
        <f>+VLOOKUP(A76,S0!$C$2:$I$89,5)</f>
        <v>Lotes en proceso.
Lotes terminados.</v>
      </c>
      <c r="H76" s="64" t="str">
        <f>+VLOOKUP(A76,S0!$C$2:$I$89,6)</f>
        <v>SPC.Gráficas de calidad.</v>
      </c>
      <c r="I76" s="46" t="s">
        <v>95</v>
      </c>
      <c r="J76" s="46" t="s">
        <v>87</v>
      </c>
      <c r="K76" s="99"/>
      <c r="L76" s="77">
        <f>+(VLOOKUP($A76,S0!$C$2:$Y$89,18)/8 * VLOOKUP($I76,Atributos!$A$28:$B$31,2) * VLOOKUP($J76,Atributos!$A$22:$B$25,2))/5</f>
        <v>0</v>
      </c>
      <c r="M76" s="37">
        <f>+(VLOOKUP($A76,S0!$C$2:$Y$89,19)/8 * VLOOKUP($I76,Atributos!$A$28:$B99,2) * VLOOKUP($J76,Atributos!$A$22:$B93,2))/5</f>
        <v>0</v>
      </c>
      <c r="N76" s="43">
        <f>+VLOOKUP($A76,S0!$C$2:$Y$89,20)/8 * VLOOKUP($I76,Atributos!$A$28:$B$31,2) * VLOOKUP($J76,Atributos!$A$22:$B$25,2)/5</f>
        <v>0</v>
      </c>
      <c r="O76" s="43">
        <f>+VLOOKUP($A76,S0!$C$2:$Y$89,21)/8 * VLOOKUP($I76,Atributos!$A$28:$B$31,2) * VLOOKUP($J76,Atributos!$A$22:$B$25,2)/5</f>
        <v>0</v>
      </c>
      <c r="P76" s="43">
        <f>+VLOOKUP($A76,S0!$C$2:$Y$89,22)/8 * VLOOKUP($I76,Atributos!$A$28:$B$31,2) * VLOOKUP($J76,Atributos!$A$22:$B$25,2)/5</f>
        <v>0</v>
      </c>
      <c r="Q76" s="43">
        <f>+VLOOKUP($A76,S0!$C$2:$Y$89,23)/8 * VLOOKUP($I76,Atributos!$A$28:$B$31,2) * VLOOKUP($J76,Atributos!$A$22:$B$25,2)/5</f>
        <v>0</v>
      </c>
      <c r="R76" s="43">
        <f t="shared" si="15"/>
        <v>0</v>
      </c>
      <c r="S76" s="43">
        <f>+(VLOOKUP($A76,S0!$C$2:$Y$89,19)/8 * VLOOKUP($I76,Atributos!$A$28:$B$31,2) * VLOOKUP($J76,Atributos!$G$22:$H$25,2))/5</f>
        <v>0</v>
      </c>
      <c r="T76" s="43">
        <f>+VLOOKUP($A76,S0!$C$2:$Y$89,20)/8 * VLOOKUP($I76,Atributos!$A$28:$B$31,2) * VLOOKUP($J76,Atributos!$G$22:$H$25,2)/5</f>
        <v>0</v>
      </c>
      <c r="U76" s="43">
        <f>+VLOOKUP($A76,S0!$C$2:$Y$89,21)/8 * VLOOKUP($I76,Atributos!$A$28:$B$31,2) * VLOOKUP($J76,Atributos!$G$22:$H$25,2)/5</f>
        <v>0</v>
      </c>
      <c r="V76" s="43">
        <f>+VLOOKUP($A76,S0!$C$2:$Y$89,22)/8 * VLOOKUP($I76,Atributos!$A$28:$B$31,2) * VLOOKUP($J76,Atributos!$G$22:$H$25,2)/5</f>
        <v>0</v>
      </c>
      <c r="W76" s="43">
        <f>+VLOOKUP($A76,S0!$C$2:$Y$89,23)/8 * VLOOKUP($I76,Atributos!$A$28:$B$31,2) * VLOOKUP($J76,Atributos!$G$22:$H$25,2)/5</f>
        <v>0</v>
      </c>
      <c r="X76" s="43">
        <f t="shared" si="8"/>
        <v>0</v>
      </c>
      <c r="Y76" s="87">
        <f t="shared" si="16"/>
        <v>0</v>
      </c>
      <c r="Z76" s="87">
        <f t="shared" si="17"/>
        <v>0</v>
      </c>
      <c r="AA76" s="87">
        <f t="shared" si="18"/>
        <v>0</v>
      </c>
      <c r="AB76" s="87">
        <f t="shared" si="19"/>
        <v>0</v>
      </c>
      <c r="AC76" s="87">
        <f t="shared" si="20"/>
        <v>0</v>
      </c>
      <c r="AD76" s="87">
        <f t="shared" si="21"/>
        <v>0</v>
      </c>
    </row>
    <row r="77" spans="1:30" ht="135" x14ac:dyDescent="0.25">
      <c r="A77" s="36" t="s">
        <v>515</v>
      </c>
      <c r="B77" s="63" t="str">
        <f>+VLOOKUP(A77,S0!$C$2:$I$89,7)</f>
        <v>QM</v>
      </c>
      <c r="C77" s="62" t="s">
        <v>726</v>
      </c>
      <c r="D77" s="62"/>
      <c r="E77" s="64" t="str">
        <f>+VLOOKUP(A77,S0!$C$2:$I$89,3)</f>
        <v>Creación de lote de inspección. Registro de resultados. Decisión de empleo</v>
      </c>
      <c r="F77" s="64" t="str">
        <f>+VLOOKUP(A77,S0!$C$2:$I$89,4)</f>
        <v>Define el tratamiento de las inspecciones en el almacén. Inicia con la creación del lote de inspección de manera automática cuando ocurren traslados. El lote entra al estado de control de calidad. En este estado sólo el área de calidad puede darle un tratamiento. Luego se registran los resultados de las muestras de acuerdo al plan de inspección. Finalmente se registra la decisión de empleo en el que se determina si el lote debe ser liberado, bloqueado o devuelto.</v>
      </c>
      <c r="G77" s="64">
        <f>+VLOOKUP(A77,S0!$C$2:$I$89,5)</f>
        <v>0</v>
      </c>
      <c r="H77" s="64">
        <f>+VLOOKUP(A77,S0!$C$2:$I$89,6)</f>
        <v>0</v>
      </c>
      <c r="I77" s="46" t="s">
        <v>95</v>
      </c>
      <c r="J77" s="46" t="s">
        <v>87</v>
      </c>
      <c r="K77" s="99"/>
      <c r="L77" s="77">
        <f>+(VLOOKUP($A77,S0!$C$2:$Y$89,18)/8 * VLOOKUP($I77,Atributos!$A$28:$B$31,2) * VLOOKUP($J77,Atributos!$A$22:$B$25,2))/5</f>
        <v>0</v>
      </c>
      <c r="M77" s="37">
        <f>+(VLOOKUP($A77,S0!$C$2:$Y$89,19)/8 * VLOOKUP($I77,Atributos!$A$28:$B100,2) * VLOOKUP($J77,Atributos!$A$22:$B94,2))/5</f>
        <v>0</v>
      </c>
      <c r="N77" s="43">
        <f>+VLOOKUP($A77,S0!$C$2:$Y$89,20)/8 * VLOOKUP($I77,Atributos!$A$28:$B$31,2) * VLOOKUP($J77,Atributos!$A$22:$B$25,2)/5</f>
        <v>0</v>
      </c>
      <c r="O77" s="43">
        <f>+VLOOKUP($A77,S0!$C$2:$Y$89,21)/8 * VLOOKUP($I77,Atributos!$A$28:$B$31,2) * VLOOKUP($J77,Atributos!$A$22:$B$25,2)/5</f>
        <v>0</v>
      </c>
      <c r="P77" s="43">
        <f>+VLOOKUP($A77,S0!$C$2:$Y$89,22)/8 * VLOOKUP($I77,Atributos!$A$28:$B$31,2) * VLOOKUP($J77,Atributos!$A$22:$B$25,2)/5</f>
        <v>0</v>
      </c>
      <c r="Q77" s="43">
        <f>+VLOOKUP($A77,S0!$C$2:$Y$89,23)/8 * VLOOKUP($I77,Atributos!$A$28:$B$31,2) * VLOOKUP($J77,Atributos!$A$22:$B$25,2)/5</f>
        <v>0</v>
      </c>
      <c r="R77" s="43">
        <f t="shared" si="15"/>
        <v>0</v>
      </c>
      <c r="S77" s="43">
        <f>+(VLOOKUP($A77,S0!$C$2:$Y$89,19)/8 * VLOOKUP($I77,Atributos!$A$28:$B$31,2) * VLOOKUP($J77,Atributos!$G$22:$H$25,2))/5</f>
        <v>0</v>
      </c>
      <c r="T77" s="43">
        <f>+VLOOKUP($A77,S0!$C$2:$Y$89,20)/8 * VLOOKUP($I77,Atributos!$A$28:$B$31,2) * VLOOKUP($J77,Atributos!$G$22:$H$25,2)/5</f>
        <v>0</v>
      </c>
      <c r="U77" s="43">
        <f>+VLOOKUP($A77,S0!$C$2:$Y$89,21)/8 * VLOOKUP($I77,Atributos!$A$28:$B$31,2) * VLOOKUP($J77,Atributos!$G$22:$H$25,2)/5</f>
        <v>0</v>
      </c>
      <c r="V77" s="43">
        <f>+VLOOKUP($A77,S0!$C$2:$Y$89,22)/8 * VLOOKUP($I77,Atributos!$A$28:$B$31,2) * VLOOKUP($J77,Atributos!$G$22:$H$25,2)/5</f>
        <v>0</v>
      </c>
      <c r="W77" s="43">
        <f>+VLOOKUP($A77,S0!$C$2:$Y$89,23)/8 * VLOOKUP($I77,Atributos!$A$28:$B$31,2) * VLOOKUP($J77,Atributos!$G$22:$H$25,2)/5</f>
        <v>0</v>
      </c>
      <c r="X77" s="43">
        <f t="shared" ref="X77:X95" si="22">SUM(S77:V77)</f>
        <v>0</v>
      </c>
      <c r="Y77" s="87">
        <f t="shared" si="16"/>
        <v>0</v>
      </c>
      <c r="Z77" s="87">
        <f t="shared" si="17"/>
        <v>0</v>
      </c>
      <c r="AA77" s="87">
        <f t="shared" si="18"/>
        <v>0</v>
      </c>
      <c r="AB77" s="87">
        <f t="shared" si="19"/>
        <v>0</v>
      </c>
      <c r="AC77" s="87">
        <f t="shared" si="20"/>
        <v>0</v>
      </c>
      <c r="AD77" s="87">
        <f t="shared" si="21"/>
        <v>0</v>
      </c>
    </row>
    <row r="78" spans="1:30" ht="105" x14ac:dyDescent="0.25">
      <c r="A78" s="36" t="s">
        <v>518</v>
      </c>
      <c r="B78" s="63" t="str">
        <f>+VLOOKUP(A78,S0!$C$2:$I$89,7)</f>
        <v>QM</v>
      </c>
      <c r="C78" s="62" t="s">
        <v>727</v>
      </c>
      <c r="D78" s="62"/>
      <c r="E78" s="64" t="str">
        <f>+VLOOKUP(A78,S0!$C$2:$I$89,3)</f>
        <v>Creación, modificación y visualización de avisos de reclamación</v>
      </c>
      <c r="F78" s="64" t="str">
        <f>+VLOOKUP(A78,S0!$C$2:$I$89,4)</f>
        <v>Proceso de investigación de causa raiz cada vez que ocurre una incidencia de calidad que se atribuye al proveedor. Se crea un aviso de reclamo al proveedor donde se especifica el materia, lote, cantidad, etc. Se documentan las diferentes actividades de seguimiento al incidente y finalmente se cierra el aviso con el resultado de la investigación.</v>
      </c>
      <c r="G78" s="64">
        <f>+VLOOKUP(A78,S0!$C$2:$I$89,5)</f>
        <v>0</v>
      </c>
      <c r="H78" s="64">
        <f>+VLOOKUP(A78,S0!$C$2:$I$89,6)</f>
        <v>0</v>
      </c>
      <c r="I78" s="46" t="s">
        <v>95</v>
      </c>
      <c r="J78" s="46" t="s">
        <v>87</v>
      </c>
      <c r="K78" s="99"/>
      <c r="L78" s="77">
        <f>+(VLOOKUP($A78,S0!$C$2:$Y$89,18)/8 * VLOOKUP($I78,Atributos!$A$28:$B$31,2) * VLOOKUP($J78,Atributos!$A$22:$B$25,2))/5</f>
        <v>0</v>
      </c>
      <c r="M78" s="37">
        <f>+(VLOOKUP($A78,S0!$C$2:$Y$89,19)/8 * VLOOKUP($I78,Atributos!$A$28:$B101,2) * VLOOKUP($J78,Atributos!$A$22:$B95,2))/5</f>
        <v>0</v>
      </c>
      <c r="N78" s="43">
        <f>+VLOOKUP($A78,S0!$C$2:$Y$89,20)/8 * VLOOKUP($I78,Atributos!$A$28:$B$31,2) * VLOOKUP($J78,Atributos!$A$22:$B$25,2)/5</f>
        <v>0</v>
      </c>
      <c r="O78" s="43">
        <f>+VLOOKUP($A78,S0!$C$2:$Y$89,21)/8 * VLOOKUP($I78,Atributos!$A$28:$B$31,2) * VLOOKUP($J78,Atributos!$A$22:$B$25,2)/5</f>
        <v>0</v>
      </c>
      <c r="P78" s="43">
        <f>+VLOOKUP($A78,S0!$C$2:$Y$89,22)/8 * VLOOKUP($I78,Atributos!$A$28:$B$31,2) * VLOOKUP($J78,Atributos!$A$22:$B$25,2)/5</f>
        <v>0</v>
      </c>
      <c r="Q78" s="43">
        <f>+VLOOKUP($A78,S0!$C$2:$Y$89,23)/8 * VLOOKUP($I78,Atributos!$A$28:$B$31,2) * VLOOKUP($J78,Atributos!$A$22:$B$25,2)/5</f>
        <v>0</v>
      </c>
      <c r="R78" s="43">
        <f t="shared" si="15"/>
        <v>0</v>
      </c>
      <c r="S78" s="43">
        <f>+(VLOOKUP($A78,S0!$C$2:$Y$89,19)/8 * VLOOKUP($I78,Atributos!$A$28:$B$31,2) * VLOOKUP($J78,Atributos!$G$22:$H$25,2))/5</f>
        <v>0</v>
      </c>
      <c r="T78" s="43">
        <f>+VLOOKUP($A78,S0!$C$2:$Y$89,20)/8 * VLOOKUP($I78,Atributos!$A$28:$B$31,2) * VLOOKUP($J78,Atributos!$G$22:$H$25,2)/5</f>
        <v>0</v>
      </c>
      <c r="U78" s="43">
        <f>+VLOOKUP($A78,S0!$C$2:$Y$89,21)/8 * VLOOKUP($I78,Atributos!$A$28:$B$31,2) * VLOOKUP($J78,Atributos!$G$22:$H$25,2)/5</f>
        <v>0</v>
      </c>
      <c r="V78" s="43">
        <f>+VLOOKUP($A78,S0!$C$2:$Y$89,22)/8 * VLOOKUP($I78,Atributos!$A$28:$B$31,2) * VLOOKUP($J78,Atributos!$G$22:$H$25,2)/5</f>
        <v>0</v>
      </c>
      <c r="W78" s="43">
        <f>+VLOOKUP($A78,S0!$C$2:$Y$89,23)/8 * VLOOKUP($I78,Atributos!$A$28:$B$31,2) * VLOOKUP($J78,Atributos!$G$22:$H$25,2)/5</f>
        <v>0</v>
      </c>
      <c r="X78" s="43">
        <f t="shared" si="22"/>
        <v>0</v>
      </c>
      <c r="Y78" s="87">
        <f t="shared" si="16"/>
        <v>0</v>
      </c>
      <c r="Z78" s="87">
        <f t="shared" si="17"/>
        <v>0</v>
      </c>
      <c r="AA78" s="87">
        <f t="shared" si="18"/>
        <v>0</v>
      </c>
      <c r="AB78" s="87">
        <f t="shared" si="19"/>
        <v>0</v>
      </c>
      <c r="AC78" s="87">
        <f t="shared" si="20"/>
        <v>0</v>
      </c>
      <c r="AD78" s="87">
        <f t="shared" si="21"/>
        <v>0</v>
      </c>
    </row>
    <row r="79" spans="1:30" ht="105" x14ac:dyDescent="0.25">
      <c r="A79" s="36" t="s">
        <v>522</v>
      </c>
      <c r="B79" s="63" t="str">
        <f>+VLOOKUP(A79,S0!$C$2:$I$89,7)</f>
        <v>QM</v>
      </c>
      <c r="C79" s="62" t="s">
        <v>728</v>
      </c>
      <c r="D79" s="62"/>
      <c r="E79" s="64" t="str">
        <f>+VLOOKUP(A79,S0!$C$2:$I$89,3)</f>
        <v>Creación, modificación y visualización de avisos de reclamación</v>
      </c>
      <c r="F79" s="64" t="str">
        <f>+VLOOKUP(A79,S0!$C$2:$I$89,4)</f>
        <v>Proceso de investigación de causa raiz cada vez que ocurre una incidencia de calidad que un cliente le atribuye a la empresa. Se crea un aviso de reclamo del cliente donde se especifica el materia, lote, cantidad, etc. Se documentan las diferentes actividades de seguimiento al incidente y finalmente se cierra el aviso con el resultado de la investigación.</v>
      </c>
      <c r="G79" s="64">
        <f>+VLOOKUP(A79,S0!$C$2:$I$89,5)</f>
        <v>0</v>
      </c>
      <c r="H79" s="64">
        <f>+VLOOKUP(A79,S0!$C$2:$I$89,6)</f>
        <v>0</v>
      </c>
      <c r="I79" s="46" t="s">
        <v>95</v>
      </c>
      <c r="J79" s="46" t="s">
        <v>87</v>
      </c>
      <c r="K79" s="99"/>
      <c r="L79" s="77">
        <f>+(VLOOKUP($A79,S0!$C$2:$Y$89,18)/8 * VLOOKUP($I79,Atributos!$A$28:$B$31,2) * VLOOKUP($J79,Atributos!$A$22:$B$25,2))/5</f>
        <v>0</v>
      </c>
      <c r="M79" s="37">
        <f>+(VLOOKUP($A79,S0!$C$2:$Y$89,19)/8 * VLOOKUP($I79,Atributos!$A$28:$B102,2) * VLOOKUP($J79,Atributos!$A$22:$B96,2))/5</f>
        <v>0</v>
      </c>
      <c r="N79" s="43">
        <f>+VLOOKUP($A79,S0!$C$2:$Y$89,20)/8 * VLOOKUP($I79,Atributos!$A$28:$B$31,2) * VLOOKUP($J79,Atributos!$A$22:$B$25,2)/5</f>
        <v>0</v>
      </c>
      <c r="O79" s="43">
        <f>+VLOOKUP($A79,S0!$C$2:$Y$89,21)/8 * VLOOKUP($I79,Atributos!$A$28:$B$31,2) * VLOOKUP($J79,Atributos!$A$22:$B$25,2)/5</f>
        <v>0</v>
      </c>
      <c r="P79" s="43">
        <f>+VLOOKUP($A79,S0!$C$2:$Y$89,22)/8 * VLOOKUP($I79,Atributos!$A$28:$B$31,2) * VLOOKUP($J79,Atributos!$A$22:$B$25,2)/5</f>
        <v>0</v>
      </c>
      <c r="Q79" s="43">
        <f>+VLOOKUP($A79,S0!$C$2:$Y$89,23)/8 * VLOOKUP($I79,Atributos!$A$28:$B$31,2) * VLOOKUP($J79,Atributos!$A$22:$B$25,2)/5</f>
        <v>0</v>
      </c>
      <c r="R79" s="43">
        <f t="shared" si="15"/>
        <v>0</v>
      </c>
      <c r="S79" s="43">
        <f>+(VLOOKUP($A79,S0!$C$2:$Y$89,19)/8 * VLOOKUP($I79,Atributos!$A$28:$B$31,2) * VLOOKUP($J79,Atributos!$G$22:$H$25,2))/5</f>
        <v>0</v>
      </c>
      <c r="T79" s="43">
        <f>+VLOOKUP($A79,S0!$C$2:$Y$89,20)/8 * VLOOKUP($I79,Atributos!$A$28:$B$31,2) * VLOOKUP($J79,Atributos!$G$22:$H$25,2)/5</f>
        <v>0</v>
      </c>
      <c r="U79" s="43">
        <f>+VLOOKUP($A79,S0!$C$2:$Y$89,21)/8 * VLOOKUP($I79,Atributos!$A$28:$B$31,2) * VLOOKUP($J79,Atributos!$G$22:$H$25,2)/5</f>
        <v>0</v>
      </c>
      <c r="V79" s="43">
        <f>+VLOOKUP($A79,S0!$C$2:$Y$89,22)/8 * VLOOKUP($I79,Atributos!$A$28:$B$31,2) * VLOOKUP($J79,Atributos!$G$22:$H$25,2)/5</f>
        <v>0</v>
      </c>
      <c r="W79" s="43">
        <f>+VLOOKUP($A79,S0!$C$2:$Y$89,23)/8 * VLOOKUP($I79,Atributos!$A$28:$B$31,2) * VLOOKUP($J79,Atributos!$G$22:$H$25,2)/5</f>
        <v>0</v>
      </c>
      <c r="X79" s="43">
        <f t="shared" si="22"/>
        <v>0</v>
      </c>
      <c r="Y79" s="87">
        <f t="shared" si="16"/>
        <v>0</v>
      </c>
      <c r="Z79" s="87">
        <f t="shared" si="17"/>
        <v>0</v>
      </c>
      <c r="AA79" s="87">
        <f t="shared" si="18"/>
        <v>0</v>
      </c>
      <c r="AB79" s="87">
        <f t="shared" si="19"/>
        <v>0</v>
      </c>
      <c r="AC79" s="87">
        <f t="shared" si="20"/>
        <v>0</v>
      </c>
      <c r="AD79" s="87">
        <f t="shared" si="21"/>
        <v>0</v>
      </c>
    </row>
    <row r="80" spans="1:30" ht="105" x14ac:dyDescent="0.25">
      <c r="A80" s="36" t="s">
        <v>525</v>
      </c>
      <c r="B80" s="63" t="str">
        <f>+VLOOKUP(A80,S0!$C$2:$I$89,7)</f>
        <v>QM</v>
      </c>
      <c r="C80" s="62" t="s">
        <v>729</v>
      </c>
      <c r="D80" s="62"/>
      <c r="E80" s="64" t="str">
        <f>+VLOOKUP(A80,S0!$C$2:$I$89,3)</f>
        <v>Creación, modificación y visualización de avisos de reclamación</v>
      </c>
      <c r="F80" s="64" t="str">
        <f>+VLOOKUP(A80,S0!$C$2:$I$89,4)</f>
        <v>Proceso de investigación de causa raiz cada vez que ocurre una incidencia de calidad que se atribuye a algún proceso interno. Se crea un aviso de reclamo interno donde se especifica el materia, lote, cantidad, etc. Se documentan las diferentes actividades de seguimiento al incidente y finalmente se cierra el aviso con el resultado de la investigación.</v>
      </c>
      <c r="G80" s="64">
        <f>+VLOOKUP(A80,S0!$C$2:$I$89,5)</f>
        <v>0</v>
      </c>
      <c r="H80" s="64">
        <f>+VLOOKUP(A80,S0!$C$2:$I$89,6)</f>
        <v>0</v>
      </c>
      <c r="I80" s="46" t="s">
        <v>95</v>
      </c>
      <c r="J80" s="46" t="s">
        <v>87</v>
      </c>
      <c r="K80" s="99"/>
      <c r="L80" s="77">
        <f>+(VLOOKUP($A80,S0!$C$2:$Y$89,18)/8 * VLOOKUP($I80,Atributos!$A$28:$B$31,2) * VLOOKUP($J80,Atributos!$A$22:$B$25,2))/5</f>
        <v>0</v>
      </c>
      <c r="M80" s="37">
        <f>+(VLOOKUP($A80,S0!$C$2:$Y$89,19)/8 * VLOOKUP($I80,Atributos!$A$28:$B103,2) * VLOOKUP($J80,Atributos!$A$22:$B97,2))/5</f>
        <v>0</v>
      </c>
      <c r="N80" s="43">
        <f>+VLOOKUP($A80,S0!$C$2:$Y$89,20)/8 * VLOOKUP($I80,Atributos!$A$28:$B$31,2) * VLOOKUP($J80,Atributos!$A$22:$B$25,2)/5</f>
        <v>0</v>
      </c>
      <c r="O80" s="43">
        <f>+VLOOKUP($A80,S0!$C$2:$Y$89,21)/8 * VLOOKUP($I80,Atributos!$A$28:$B$31,2) * VLOOKUP($J80,Atributos!$A$22:$B$25,2)/5</f>
        <v>0</v>
      </c>
      <c r="P80" s="43">
        <f>+VLOOKUP($A80,S0!$C$2:$Y$89,22)/8 * VLOOKUP($I80,Atributos!$A$28:$B$31,2) * VLOOKUP($J80,Atributos!$A$22:$B$25,2)/5</f>
        <v>0</v>
      </c>
      <c r="Q80" s="43">
        <f>+VLOOKUP($A80,S0!$C$2:$Y$89,23)/8 * VLOOKUP($I80,Atributos!$A$28:$B$31,2) * VLOOKUP($J80,Atributos!$A$22:$B$25,2)/5</f>
        <v>0</v>
      </c>
      <c r="R80" s="43">
        <f t="shared" si="15"/>
        <v>0</v>
      </c>
      <c r="S80" s="43">
        <f>+(VLOOKUP($A80,S0!$C$2:$Y$89,19)/8 * VLOOKUP($I80,Atributos!$A$28:$B$31,2) * VLOOKUP($J80,Atributos!$G$22:$H$25,2))/5</f>
        <v>0</v>
      </c>
      <c r="T80" s="43">
        <f>+VLOOKUP($A80,S0!$C$2:$Y$89,20)/8 * VLOOKUP($I80,Atributos!$A$28:$B$31,2) * VLOOKUP($J80,Atributos!$G$22:$H$25,2)/5</f>
        <v>0</v>
      </c>
      <c r="U80" s="43">
        <f>+VLOOKUP($A80,S0!$C$2:$Y$89,21)/8 * VLOOKUP($I80,Atributos!$A$28:$B$31,2) * VLOOKUP($J80,Atributos!$G$22:$H$25,2)/5</f>
        <v>0</v>
      </c>
      <c r="V80" s="43">
        <f>+VLOOKUP($A80,S0!$C$2:$Y$89,22)/8 * VLOOKUP($I80,Atributos!$A$28:$B$31,2) * VLOOKUP($J80,Atributos!$G$22:$H$25,2)/5</f>
        <v>0</v>
      </c>
      <c r="W80" s="43">
        <f>+VLOOKUP($A80,S0!$C$2:$Y$89,23)/8 * VLOOKUP($I80,Atributos!$A$28:$B$31,2) * VLOOKUP($J80,Atributos!$G$22:$H$25,2)/5</f>
        <v>0</v>
      </c>
      <c r="X80" s="43">
        <f t="shared" si="22"/>
        <v>0</v>
      </c>
      <c r="Y80" s="87">
        <f t="shared" si="16"/>
        <v>0</v>
      </c>
      <c r="Z80" s="87">
        <f t="shared" si="17"/>
        <v>0</v>
      </c>
      <c r="AA80" s="87">
        <f t="shared" si="18"/>
        <v>0</v>
      </c>
      <c r="AB80" s="87">
        <f t="shared" si="19"/>
        <v>0</v>
      </c>
      <c r="AC80" s="87">
        <f t="shared" si="20"/>
        <v>0</v>
      </c>
      <c r="AD80" s="87">
        <f t="shared" si="21"/>
        <v>0</v>
      </c>
    </row>
    <row r="81" spans="1:30" ht="45" x14ac:dyDescent="0.25">
      <c r="A81" s="36" t="s">
        <v>528</v>
      </c>
      <c r="B81" s="63" t="str">
        <f>+VLOOKUP(A81,S0!$C$2:$I$89,7)</f>
        <v>QM</v>
      </c>
      <c r="C81" s="62" t="s">
        <v>730</v>
      </c>
      <c r="D81" s="62"/>
      <c r="E81" s="64" t="str">
        <f>+VLOOKUP(A81,S0!$C$2:$I$89,3)</f>
        <v>Creación de defecto. Uso de método 8D de solución de problemas. Crear tareas.</v>
      </c>
      <c r="F81" s="64" t="str">
        <f>+VLOOKUP(A81,S0!$C$2:$I$89,4)</f>
        <v>Investigación de defectos con método 8D</v>
      </c>
      <c r="G81" s="64">
        <f>+VLOOKUP(A81,S0!$C$2:$I$89,5)</f>
        <v>0</v>
      </c>
      <c r="H81" s="64">
        <f>+VLOOKUP(A81,S0!$C$2:$I$89,6)</f>
        <v>0</v>
      </c>
      <c r="I81" s="46" t="s">
        <v>95</v>
      </c>
      <c r="J81" s="46" t="s">
        <v>87</v>
      </c>
      <c r="K81" s="99"/>
      <c r="L81" s="77">
        <f>+(VLOOKUP($A81,S0!$C$2:$Y$89,18)/8 * VLOOKUP($I81,Atributos!$A$28:$B$31,2) * VLOOKUP($J81,Atributos!$A$22:$B$25,2))/5</f>
        <v>0</v>
      </c>
      <c r="M81" s="37">
        <f>+(VLOOKUP($A81,S0!$C$2:$Y$89,19)/8 * VLOOKUP($I81,Atributos!$A$28:$B104,2) * VLOOKUP($J81,Atributos!$A$22:$B98,2))/5</f>
        <v>0</v>
      </c>
      <c r="N81" s="43">
        <f>+VLOOKUP($A81,S0!$C$2:$Y$89,20)/8 * VLOOKUP($I81,Atributos!$A$28:$B$31,2) * VLOOKUP($J81,Atributos!$A$22:$B$25,2)/5</f>
        <v>0</v>
      </c>
      <c r="O81" s="43">
        <f>+VLOOKUP($A81,S0!$C$2:$Y$89,21)/8 * VLOOKUP($I81,Atributos!$A$28:$B$31,2) * VLOOKUP($J81,Atributos!$A$22:$B$25,2)/5</f>
        <v>0</v>
      </c>
      <c r="P81" s="43">
        <f>+VLOOKUP($A81,S0!$C$2:$Y$89,22)/8 * VLOOKUP($I81,Atributos!$A$28:$B$31,2) * VLOOKUP($J81,Atributos!$A$22:$B$25,2)/5</f>
        <v>0</v>
      </c>
      <c r="Q81" s="43">
        <f>+VLOOKUP($A81,S0!$C$2:$Y$89,23)/8 * VLOOKUP($I81,Atributos!$A$28:$B$31,2) * VLOOKUP($J81,Atributos!$A$22:$B$25,2)/5</f>
        <v>0</v>
      </c>
      <c r="R81" s="43">
        <f t="shared" si="15"/>
        <v>0</v>
      </c>
      <c r="S81" s="43">
        <f>+(VLOOKUP($A81,S0!$C$2:$Y$89,19)/8 * VLOOKUP($I81,Atributos!$A$28:$B$31,2) * VLOOKUP($J81,Atributos!$G$22:$H$25,2))/5</f>
        <v>0</v>
      </c>
      <c r="T81" s="43">
        <f>+VLOOKUP($A81,S0!$C$2:$Y$89,20)/8 * VLOOKUP($I81,Atributos!$A$28:$B$31,2) * VLOOKUP($J81,Atributos!$G$22:$H$25,2)/5</f>
        <v>0</v>
      </c>
      <c r="U81" s="43">
        <f>+VLOOKUP($A81,S0!$C$2:$Y$89,21)/8 * VLOOKUP($I81,Atributos!$A$28:$B$31,2) * VLOOKUP($J81,Atributos!$G$22:$H$25,2)/5</f>
        <v>0</v>
      </c>
      <c r="V81" s="43">
        <f>+VLOOKUP($A81,S0!$C$2:$Y$89,22)/8 * VLOOKUP($I81,Atributos!$A$28:$B$31,2) * VLOOKUP($J81,Atributos!$G$22:$H$25,2)/5</f>
        <v>0</v>
      </c>
      <c r="W81" s="43">
        <f>+VLOOKUP($A81,S0!$C$2:$Y$89,23)/8 * VLOOKUP($I81,Atributos!$A$28:$B$31,2) * VLOOKUP($J81,Atributos!$G$22:$H$25,2)/5</f>
        <v>0</v>
      </c>
      <c r="X81" s="43">
        <f t="shared" si="22"/>
        <v>0</v>
      </c>
      <c r="Y81" s="87">
        <f t="shared" si="16"/>
        <v>0</v>
      </c>
      <c r="Z81" s="87">
        <f t="shared" si="17"/>
        <v>0</v>
      </c>
      <c r="AA81" s="87">
        <f t="shared" si="18"/>
        <v>0</v>
      </c>
      <c r="AB81" s="87">
        <f t="shared" si="19"/>
        <v>0</v>
      </c>
      <c r="AC81" s="87">
        <f t="shared" si="20"/>
        <v>0</v>
      </c>
      <c r="AD81" s="87">
        <f t="shared" si="21"/>
        <v>0</v>
      </c>
    </row>
    <row r="82" spans="1:30" ht="180" x14ac:dyDescent="0.25">
      <c r="A82" s="36" t="s">
        <v>532</v>
      </c>
      <c r="B82" s="63" t="str">
        <f>+VLOOKUP(A82,S0!$C$2:$I$89,7)</f>
        <v>SD</v>
      </c>
      <c r="C82" s="62" t="s">
        <v>711</v>
      </c>
      <c r="D82" s="62" t="s">
        <v>709</v>
      </c>
      <c r="E82" s="64" t="str">
        <f>+VLOOKUP(A82,S0!$C$2:$I$89,3)</f>
        <v>Organización de Ventas
Canal de Distribución
Sector
Área de ventas
Oficina de Ventas
Área de ventas y oficina
Grupo de Vendedores
Grupo de Vendedores por oficina
Vendedores
Centro 
Puesto de Expedición
Puesto de Expedición por centro</v>
      </c>
      <c r="F82" s="64" t="str">
        <f>+VLOOKUP(A82,S0!$C$2:$I$89,4)</f>
        <v>En la estructura SAP se representa la vista jurídica u organizativa de una empresa como los niveles de la organización. La determinación de dichos niveles constituye la Estructura Organizativa y corresponde, a un requisito escencial tanto para la determinación de los datos maestros como para los procesos a definir en la empresa.</v>
      </c>
      <c r="G82" s="64">
        <f>+VLOOKUP(A82,S0!$C$2:$I$89,5)</f>
        <v>0</v>
      </c>
      <c r="H82" s="64">
        <f>+VLOOKUP(A82,S0!$C$2:$I$89,6)</f>
        <v>0</v>
      </c>
      <c r="I82" s="46" t="s">
        <v>92</v>
      </c>
      <c r="J82" s="46" t="s">
        <v>87</v>
      </c>
      <c r="K82" s="99"/>
      <c r="L82" s="77">
        <f>+(VLOOKUP($A82,S0!$C$2:$Y$89,18)/8 * VLOOKUP($I82,Atributos!$A$28:$B$31,2) * VLOOKUP($J82,Atributos!$A$22:$B$25,2))/5</f>
        <v>3.7499999999999999E-2</v>
      </c>
      <c r="M82" s="37">
        <f>+(VLOOKUP($A82,S0!$C$2:$Y$89,19)/8 * VLOOKUP($I82,Atributos!$A$28:$B105,2) * VLOOKUP($J82,Atributos!$A$22:$B99,2))/5</f>
        <v>3.7499999999999999E-2</v>
      </c>
      <c r="N82" s="43">
        <f>+VLOOKUP($A82,S0!$C$2:$Y$89,20)/8 * VLOOKUP($I82,Atributos!$A$28:$B$31,2) * VLOOKUP($J82,Atributos!$A$22:$B$25,2)/5</f>
        <v>0.15</v>
      </c>
      <c r="O82" s="43">
        <f>+VLOOKUP($A82,S0!$C$2:$Y$89,21)/8 * VLOOKUP($I82,Atributos!$A$28:$B$31,2) * VLOOKUP($J82,Atributos!$A$22:$B$25,2)/5</f>
        <v>0.15</v>
      </c>
      <c r="P82" s="43">
        <f>+VLOOKUP($A82,S0!$C$2:$Y$89,22)/8 * VLOOKUP($I82,Atributos!$A$28:$B$31,2) * VLOOKUP($J82,Atributos!$A$22:$B$25,2)/5</f>
        <v>0</v>
      </c>
      <c r="Q82" s="43">
        <f>+VLOOKUP($A82,S0!$C$2:$Y$89,23)/8 * VLOOKUP($I82,Atributos!$A$28:$B$31,2) * VLOOKUP($J82,Atributos!$A$22:$B$25,2)/5</f>
        <v>0</v>
      </c>
      <c r="R82" s="43">
        <f t="shared" si="15"/>
        <v>0.33750000000000002</v>
      </c>
      <c r="S82" s="43">
        <f>+(VLOOKUP($A82,S0!$C$2:$Y$89,19)/8 * VLOOKUP($I82,Atributos!$A$28:$B$31,2) * VLOOKUP($J82,Atributos!$G$22:$H$25,2))/5</f>
        <v>2.5000000000000001E-2</v>
      </c>
      <c r="T82" s="43">
        <f>+VLOOKUP($A82,S0!$C$2:$Y$89,20)/8 * VLOOKUP($I82,Atributos!$A$28:$B$31,2) * VLOOKUP($J82,Atributos!$G$22:$H$25,2)/5</f>
        <v>0.1</v>
      </c>
      <c r="U82" s="43">
        <f>+VLOOKUP($A82,S0!$C$2:$Y$89,21)/8 * VLOOKUP($I82,Atributos!$A$28:$B$31,2) * VLOOKUP($J82,Atributos!$G$22:$H$25,2)/5</f>
        <v>0.1</v>
      </c>
      <c r="V82" s="43">
        <f>+VLOOKUP($A82,S0!$C$2:$Y$89,22)/8 * VLOOKUP($I82,Atributos!$A$28:$B$31,2) * VLOOKUP($J82,Atributos!$G$22:$H$25,2)/5</f>
        <v>0</v>
      </c>
      <c r="W82" s="43">
        <f>+VLOOKUP($A82,S0!$C$2:$Y$89,23)/8 * VLOOKUP($I82,Atributos!$A$28:$B$31,2) * VLOOKUP($J82,Atributos!$G$22:$H$25,2)/5</f>
        <v>0</v>
      </c>
      <c r="X82" s="43">
        <f t="shared" si="22"/>
        <v>0.22500000000000001</v>
      </c>
      <c r="Y82" s="87">
        <f t="shared" si="16"/>
        <v>3.125E-2</v>
      </c>
      <c r="Z82" s="87">
        <f t="shared" si="17"/>
        <v>0.125</v>
      </c>
      <c r="AA82" s="87">
        <f t="shared" si="18"/>
        <v>0.125</v>
      </c>
      <c r="AB82" s="87">
        <f t="shared" si="19"/>
        <v>0</v>
      </c>
      <c r="AC82" s="87">
        <f t="shared" si="20"/>
        <v>0</v>
      </c>
      <c r="AD82" s="87">
        <f t="shared" si="21"/>
        <v>0.28125</v>
      </c>
    </row>
    <row r="83" spans="1:30" ht="210" x14ac:dyDescent="0.25">
      <c r="A83" s="36" t="s">
        <v>535</v>
      </c>
      <c r="B83" s="63" t="str">
        <f>+VLOOKUP(A83,S0!$C$2:$I$89,7)</f>
        <v>SD</v>
      </c>
      <c r="C83" s="62" t="s">
        <v>712</v>
      </c>
      <c r="D83" s="62" t="s">
        <v>713</v>
      </c>
      <c r="E83" s="64" t="str">
        <f>+VLOOKUP(A83,S0!$C$2:$I$89,3)</f>
        <v>Definición de agrupación BP
Funciones interlocutor del Business Partner
Datos interlocutor general
Datos de deudor
Datos de cliente
Datos de proveedor
Datos de acreedor
Business Partner en Fiori</v>
      </c>
      <c r="F83" s="64" t="str">
        <f>+VLOOKUP(A83,S0!$C$2:$I$89,4)</f>
        <v>Corresponden a los datos que contienen información relevante para los procesos de negocio, los mismos que son almacenados centralmente, para ser empleados y procesados a través de las aplicaciones en SAP. Respecto al maestro de Interlocutor comercial o business partner, contiene información referido al cliente de una empresa.</v>
      </c>
      <c r="G83" s="64" t="str">
        <f>+VLOOKUP(A83,S0!$C$2:$I$89,5)</f>
        <v xml:space="preserve">Los BP que se pueden crear son:
-BP General
-BP Relacionada(Empresa del mismo grupo)
-BP Colaborador
-BP Centro
-BP Destinatario de Mercadería
-BP Eventual CPD
-BP Contactos
</v>
      </c>
      <c r="H83" s="64">
        <f>+VLOOKUP(A83,S0!$C$2:$I$89,6)</f>
        <v>0</v>
      </c>
      <c r="I83" s="46" t="s">
        <v>92</v>
      </c>
      <c r="J83" s="46" t="s">
        <v>87</v>
      </c>
      <c r="K83" s="99"/>
      <c r="L83" s="77">
        <f>+(VLOOKUP($A83,S0!$C$2:$Y$89,18)/8 * VLOOKUP($I83,Atributos!$A$28:$B$31,2) * VLOOKUP($J83,Atributos!$A$22:$B$25,2))/5</f>
        <v>3.7499999999999999E-2</v>
      </c>
      <c r="M83" s="37">
        <f>+(VLOOKUP($A83,S0!$C$2:$Y$89,19)/8 * VLOOKUP($I83,Atributos!$A$28:$B106,2) * VLOOKUP($J83,Atributos!$A$22:$B100,2))/5</f>
        <v>7.4999999999999997E-2</v>
      </c>
      <c r="N83" s="43">
        <f>+VLOOKUP($A83,S0!$C$2:$Y$89,20)/8 * VLOOKUP($I83,Atributos!$A$28:$B$31,2) * VLOOKUP($J83,Atributos!$A$22:$B$25,2)/5</f>
        <v>0.3</v>
      </c>
      <c r="O83" s="43">
        <f>+VLOOKUP($A83,S0!$C$2:$Y$89,21)/8 * VLOOKUP($I83,Atributos!$A$28:$B$31,2) * VLOOKUP($J83,Atributos!$A$22:$B$25,2)/5</f>
        <v>0.3</v>
      </c>
      <c r="P83" s="43">
        <f>+VLOOKUP($A83,S0!$C$2:$Y$89,22)/8 * VLOOKUP($I83,Atributos!$A$28:$B$31,2) * VLOOKUP($J83,Atributos!$A$22:$B$25,2)/5</f>
        <v>0.3</v>
      </c>
      <c r="Q83" s="43">
        <f>+VLOOKUP($A83,S0!$C$2:$Y$89,23)/8 * VLOOKUP($I83,Atributos!$A$28:$B$31,2) * VLOOKUP($J83,Atributos!$A$22:$B$25,2)/5</f>
        <v>0</v>
      </c>
      <c r="R83" s="43">
        <f t="shared" si="15"/>
        <v>0.97500000000000009</v>
      </c>
      <c r="S83" s="43">
        <f>+(VLOOKUP($A83,S0!$C$2:$Y$89,19)/8 * VLOOKUP($I83,Atributos!$A$28:$B$31,2) * VLOOKUP($J83,Atributos!$G$22:$H$25,2))/5</f>
        <v>2.5000000000000001E-2</v>
      </c>
      <c r="T83" s="43">
        <f>+VLOOKUP($A83,S0!$C$2:$Y$89,20)/8 * VLOOKUP($I83,Atributos!$A$28:$B$31,2) * VLOOKUP($J83,Atributos!$G$22:$H$25,2)/5</f>
        <v>0.2</v>
      </c>
      <c r="U83" s="43">
        <f>+VLOOKUP($A83,S0!$C$2:$Y$89,21)/8 * VLOOKUP($I83,Atributos!$A$28:$B$31,2) * VLOOKUP($J83,Atributos!$G$22:$H$25,2)/5</f>
        <v>0.2</v>
      </c>
      <c r="V83" s="43">
        <f>+VLOOKUP($A83,S0!$C$2:$Y$89,22)/8 * VLOOKUP($I83,Atributos!$A$28:$B$31,2) * VLOOKUP($J83,Atributos!$G$22:$H$25,2)/5</f>
        <v>0.2</v>
      </c>
      <c r="W83" s="43">
        <f>+VLOOKUP($A83,S0!$C$2:$Y$89,23)/8 * VLOOKUP($I83,Atributos!$A$28:$B$31,2) * VLOOKUP($J83,Atributos!$G$22:$H$25,2)/5</f>
        <v>0</v>
      </c>
      <c r="X83" s="43">
        <f t="shared" si="22"/>
        <v>0.625</v>
      </c>
      <c r="Y83" s="87">
        <f t="shared" si="16"/>
        <v>0.05</v>
      </c>
      <c r="Z83" s="87">
        <f t="shared" si="17"/>
        <v>0.25</v>
      </c>
      <c r="AA83" s="87">
        <f t="shared" si="18"/>
        <v>0.25</v>
      </c>
      <c r="AB83" s="87">
        <f t="shared" si="19"/>
        <v>0.25</v>
      </c>
      <c r="AC83" s="87">
        <f t="shared" si="20"/>
        <v>0</v>
      </c>
      <c r="AD83" s="87">
        <f t="shared" si="21"/>
        <v>0.8</v>
      </c>
    </row>
    <row r="84" spans="1:30" ht="409.5" x14ac:dyDescent="0.25">
      <c r="A84" s="36" t="s">
        <v>541</v>
      </c>
      <c r="B84" s="63" t="str">
        <f>+VLOOKUP(A84,S0!$C$2:$I$89,7)</f>
        <v>SD</v>
      </c>
      <c r="C84" s="62" t="s">
        <v>542</v>
      </c>
      <c r="D84" s="62"/>
      <c r="E84" s="64" t="str">
        <f>+VLOOKUP(A84,S0!$C$2:$I$89,3)</f>
        <v>Clases de condiciones
Secuencia de acceso 
Esquema de cálculo
Reporte</v>
      </c>
      <c r="F84" s="64" t="str">
        <f>+VLOOKUP(A84,S0!$C$2:$I$89,4)</f>
        <v>De manera similar a los mencionados anteriormente, almacenan datos de forma centralizada que puede ser empleadas en los procesos comerciales. En este caso, se definen todas las condiciones que representan los acuerdos con los clientes sobre precios, descuentos, entre otras y que pueden ser empleados en los procesos comerciales. Así como, la forma en la que se encontraran estructuradas dichas condiciones en los pedidos de venta.</v>
      </c>
      <c r="G84" s="64" t="str">
        <f>+VLOOKUP(A84,S0!$C$2:$I$89,5)</f>
        <v xml:space="preserve">Un solo esquema de cálculo que incluye:
Condiciones: Precios, descuento fijo, descuento porcentual, recargo fijo, recargo porcentual, descuento por anticipo, IGV %, recargo estadístico x detracción, Retención y costo del producto.
Precio:
- Organización de ventas / Canal de Distribución / Cliente / Material 
- Organización de ventas / Canal de Distribución / Tipo lista /Moneda/ Material 
- Organización de ventas / Canal de Distribución / Material 
Descuentos: 
Descuento ZD01: 
Organización de ventas / Cliente / Material 
Organización de ventas / Grupo de clientes / Material 
Organización de ventas / Canal de Distribución / Material  
Bonificación ZNA0: 
Organización de ventas / Canal de Distribución / Cliente/ Material 
Organización de ventas / Canal de Distribución / Material 
 Impuestos:  
ZIGV: 
País / País Receptor / Clasificación Fiscal Cliente / Clasificación Fiscal Material 
País / Clasificación Fiscal Cliente / Clasificación Fiscal Material </v>
      </c>
      <c r="H84" s="64">
        <f>+VLOOKUP(A84,S0!$C$2:$I$89,6)</f>
        <v>0</v>
      </c>
      <c r="I84" s="46" t="s">
        <v>92</v>
      </c>
      <c r="J84" s="46" t="s">
        <v>87</v>
      </c>
      <c r="K84" s="99"/>
      <c r="L84" s="77">
        <f>+(VLOOKUP($A84,S0!$C$2:$Y$89,18)/8 * VLOOKUP($I84,Atributos!$A$28:$B$31,2) * VLOOKUP($J84,Atributos!$A$22:$B$25,2))/5</f>
        <v>3.7499999999999999E-2</v>
      </c>
      <c r="M84" s="37">
        <f>+(VLOOKUP($A84,S0!$C$2:$Y$89,19)/8 * VLOOKUP($I84,Atributos!$A$28:$B107,2) * VLOOKUP($J84,Atributos!$A$22:$B101,2))/5</f>
        <v>7.4999999999999997E-2</v>
      </c>
      <c r="N84" s="43">
        <f>+VLOOKUP($A84,S0!$C$2:$Y$89,20)/8 * VLOOKUP($I84,Atributos!$A$28:$B$31,2) * VLOOKUP($J84,Atributos!$A$22:$B$25,2)/5</f>
        <v>0.3</v>
      </c>
      <c r="O84" s="43">
        <f>+VLOOKUP($A84,S0!$C$2:$Y$89,21)/8 * VLOOKUP($I84,Atributos!$A$28:$B$31,2) * VLOOKUP($J84,Atributos!$A$22:$B$25,2)/5</f>
        <v>0.3</v>
      </c>
      <c r="P84" s="43">
        <f>+VLOOKUP($A84,S0!$C$2:$Y$89,22)/8 * VLOOKUP($I84,Atributos!$A$28:$B$31,2) * VLOOKUP($J84,Atributos!$A$22:$B$25,2)/5</f>
        <v>0.3</v>
      </c>
      <c r="Q84" s="43">
        <f>+VLOOKUP($A84,S0!$C$2:$Y$89,23)/8 * VLOOKUP($I84,Atributos!$A$28:$B$31,2) * VLOOKUP($J84,Atributos!$A$22:$B$25,2)/5</f>
        <v>0</v>
      </c>
      <c r="R84" s="43">
        <f t="shared" si="15"/>
        <v>0.97500000000000009</v>
      </c>
      <c r="S84" s="43">
        <f>+(VLOOKUP($A84,S0!$C$2:$Y$89,19)/8 * VLOOKUP($I84,Atributos!$A$28:$B$31,2) * VLOOKUP($J84,Atributos!$G$22:$H$25,2))/5</f>
        <v>2.5000000000000001E-2</v>
      </c>
      <c r="T84" s="43">
        <f>+VLOOKUP($A84,S0!$C$2:$Y$89,20)/8 * VLOOKUP($I84,Atributos!$A$28:$B$31,2) * VLOOKUP($J84,Atributos!$G$22:$H$25,2)/5</f>
        <v>0.2</v>
      </c>
      <c r="U84" s="43">
        <f>+VLOOKUP($A84,S0!$C$2:$Y$89,21)/8 * VLOOKUP($I84,Atributos!$A$28:$B$31,2) * VLOOKUP($J84,Atributos!$G$22:$H$25,2)/5</f>
        <v>0.2</v>
      </c>
      <c r="V84" s="43">
        <f>+VLOOKUP($A84,S0!$C$2:$Y$89,22)/8 * VLOOKUP($I84,Atributos!$A$28:$B$31,2) * VLOOKUP($J84,Atributos!$G$22:$H$25,2)/5</f>
        <v>0.2</v>
      </c>
      <c r="W84" s="43">
        <f>+VLOOKUP($A84,S0!$C$2:$Y$89,23)/8 * VLOOKUP($I84,Atributos!$A$28:$B$31,2) * VLOOKUP($J84,Atributos!$G$22:$H$25,2)/5</f>
        <v>0</v>
      </c>
      <c r="X84" s="43">
        <f t="shared" si="22"/>
        <v>0.625</v>
      </c>
      <c r="Y84" s="87">
        <f t="shared" si="16"/>
        <v>0.05</v>
      </c>
      <c r="Z84" s="87">
        <f t="shared" si="17"/>
        <v>0.25</v>
      </c>
      <c r="AA84" s="87">
        <f t="shared" si="18"/>
        <v>0.25</v>
      </c>
      <c r="AB84" s="87">
        <f t="shared" si="19"/>
        <v>0.25</v>
      </c>
      <c r="AC84" s="87">
        <f t="shared" si="20"/>
        <v>0</v>
      </c>
      <c r="AD84" s="87">
        <f t="shared" si="21"/>
        <v>0.8</v>
      </c>
    </row>
    <row r="85" spans="1:30" ht="405" x14ac:dyDescent="0.25">
      <c r="A85" s="36" t="s">
        <v>548</v>
      </c>
      <c r="B85" s="63" t="str">
        <f>+VLOOKUP(A85,S0!$C$2:$I$89,7)</f>
        <v>SD</v>
      </c>
      <c r="C85" s="117" t="s">
        <v>549</v>
      </c>
      <c r="D85" s="62" t="s">
        <v>742</v>
      </c>
      <c r="E85" s="64" t="str">
        <f>+VLOOKUP(A85,S0!$C$2:$I$89,3)</f>
        <v>Cotización
Pedido de Venta Nacional y Exportación
- Verificación de stock 
- Verificación de crédito
Proceso de Expedición
Facturación
Facturación Electrónica
Reportes</v>
      </c>
      <c r="F85" s="64" t="str">
        <f>+VLOOKUP(A85,S0!$C$2:$I$89,4)</f>
        <v>Este proceso en SAP soporta la comercialización de existencia a clientes nacionales o extranjeros, el mismo que abarca desde la actividad de preventa hasta el cierre de la venta. Para ello, se puede comprometer el stock; con el objetivo, de asegurar la entrega del pedido del cliente. En el caso que el cliente cuente con línea de crédito, se puede validará desde la puesta del documento comercial. 
Cabe mencionar que, para los procesos definidos en SAP, las existencias son aquellas que: 
- Emplean un código de material, que contará con gestión de cantidad y valor.
- El ingreso de dicho material es contabilizado en ctas. de existencias.</v>
      </c>
      <c r="G85" s="64" t="str">
        <f>+VLOOKUP(A85,S0!$C$2:$I$89,5)</f>
        <v>Venta Nacional Afecta al IGV.
Venta Nacional Inafecta al IGV.
Venta Nacional Afecta al IGV y con Descuento en las líneas de detalle.
Venta Nacional Afecta al IGV y con Descuento al total del comprobante.
Venta Nacional Afecta al IGV en dólares USD/EUR
Autodetracción.
Venta Exportación Inafecta al IGV
Venta Exportación FOB.
Venta Exportación FOB con Descuento en las líneas de detalle.
Venta Exportación FOB con Descuento al total del comprobante.</v>
      </c>
      <c r="H85" s="64" t="str">
        <f>+VLOOKUP(A85,S0!$C$2:$I$89,6)</f>
        <v>No incluye otros impuestos: ISC, plásticos, etc.</v>
      </c>
      <c r="I85" s="46" t="s">
        <v>93</v>
      </c>
      <c r="J85" s="46" t="s">
        <v>88</v>
      </c>
      <c r="K85" s="99" t="s">
        <v>631</v>
      </c>
      <c r="L85" s="77">
        <f>+(VLOOKUP($A85,S0!$C$2:$Y$89,18)/8 * VLOOKUP($I85,Atributos!$A$28:$B$31,2) * VLOOKUP($J85,Atributos!$A$22:$B$25,2))/5</f>
        <v>8.4375000000000006E-2</v>
      </c>
      <c r="M85" s="37">
        <f>+(VLOOKUP($A85,S0!$C$2:$Y$89,19)/8 * VLOOKUP($I85,Atributos!$A$28:$B108,2) * VLOOKUP($J85,Atributos!$A$22:$B102,2))/5</f>
        <v>0</v>
      </c>
      <c r="N85" s="43">
        <f>+VLOOKUP($A85,S0!$C$2:$Y$89,20)/8 * VLOOKUP($I85,Atributos!$A$28:$B$31,2) * VLOOKUP($J85,Atributos!$A$22:$B$25,2)/5</f>
        <v>1.35</v>
      </c>
      <c r="O85" s="43">
        <f>+VLOOKUP($A85,S0!$C$2:$Y$89,21)/8 * VLOOKUP($I85,Atributos!$A$28:$B$31,2) * VLOOKUP($J85,Atributos!$A$22:$B$25,2)/5</f>
        <v>2.7</v>
      </c>
      <c r="P85" s="43">
        <f>+VLOOKUP($A85,S0!$C$2:$Y$89,22)/8 * VLOOKUP($I85,Atributos!$A$28:$B$31,2) * VLOOKUP($J85,Atributos!$A$22:$B$25,2)/5</f>
        <v>0.67500000000000004</v>
      </c>
      <c r="Q85" s="43">
        <f>+VLOOKUP($A85,S0!$C$2:$Y$89,23)/8 * VLOOKUP($I85,Atributos!$A$28:$B$31,2) * VLOOKUP($J85,Atributos!$A$22:$B$25,2)/5</f>
        <v>0.67500000000000004</v>
      </c>
      <c r="R85" s="43">
        <f t="shared" si="15"/>
        <v>4.7250000000000005</v>
      </c>
      <c r="S85" s="43">
        <f>+(VLOOKUP($A85,S0!$C$2:$Y$89,19)/8 * VLOOKUP($I85,Atributos!$A$28:$B$31,2) * VLOOKUP($J85,Atributos!$G$22:$H$25,2))/5</f>
        <v>0.1125</v>
      </c>
      <c r="T85" s="43">
        <f>+VLOOKUP($A85,S0!$C$2:$Y$89,20)/8 * VLOOKUP($I85,Atributos!$A$28:$B$31,2) * VLOOKUP($J85,Atributos!$G$22:$H$25,2)/5</f>
        <v>0.9</v>
      </c>
      <c r="U85" s="43">
        <f>+VLOOKUP($A85,S0!$C$2:$Y$89,21)/8 * VLOOKUP($I85,Atributos!$A$28:$B$31,2) * VLOOKUP($J85,Atributos!$G$22:$H$25,2)/5</f>
        <v>1.8</v>
      </c>
      <c r="V85" s="43">
        <f>+VLOOKUP($A85,S0!$C$2:$Y$89,22)/8 * VLOOKUP($I85,Atributos!$A$28:$B$31,2) * VLOOKUP($J85,Atributos!$G$22:$H$25,2)/5</f>
        <v>0.45</v>
      </c>
      <c r="W85" s="43">
        <f>+VLOOKUP($A85,S0!$C$2:$Y$89,23)/8 * VLOOKUP($I85,Atributos!$A$28:$B$31,2) * VLOOKUP($J85,Atributos!$G$22:$H$25,2)/5</f>
        <v>0.45</v>
      </c>
      <c r="X85" s="43">
        <f t="shared" si="22"/>
        <v>3.2625000000000002</v>
      </c>
      <c r="Y85" s="87">
        <f t="shared" si="16"/>
        <v>5.6250000000000001E-2</v>
      </c>
      <c r="Z85" s="87">
        <f t="shared" si="17"/>
        <v>1.125</v>
      </c>
      <c r="AA85" s="87">
        <f t="shared" si="18"/>
        <v>2.25</v>
      </c>
      <c r="AB85" s="87">
        <f t="shared" si="19"/>
        <v>0.5625</v>
      </c>
      <c r="AC85" s="87">
        <f t="shared" si="20"/>
        <v>0.5625</v>
      </c>
      <c r="AD85" s="87">
        <f t="shared" si="21"/>
        <v>3.9937499999999999</v>
      </c>
    </row>
    <row r="86" spans="1:30" ht="39.75" customHeight="1" x14ac:dyDescent="0.25">
      <c r="A86" s="36" t="s">
        <v>556</v>
      </c>
      <c r="B86" s="63" t="str">
        <f>+VLOOKUP(A86,S0!$C$2:$I$89,7)</f>
        <v>SD</v>
      </c>
      <c r="C86" s="117" t="s">
        <v>743</v>
      </c>
      <c r="D86" s="62" t="s">
        <v>744</v>
      </c>
      <c r="E86" s="64">
        <f>+VLOOKUP(A86,S0!$C$2:$I$89,3)</f>
        <v>0</v>
      </c>
      <c r="F86" s="64">
        <f>+VLOOKUP(A86,S0!$C$2:$I$89,4)</f>
        <v>0</v>
      </c>
      <c r="G86" s="64">
        <f>+VLOOKUP(A86,S0!$C$2:$I$89,5)</f>
        <v>0</v>
      </c>
      <c r="H86" s="64">
        <f>+VLOOKUP(A86,S0!$C$2:$I$89,6)</f>
        <v>0</v>
      </c>
      <c r="I86" s="46" t="s">
        <v>95</v>
      </c>
      <c r="J86" s="46" t="s">
        <v>87</v>
      </c>
      <c r="K86" s="99"/>
      <c r="L86" s="77">
        <f>+(VLOOKUP($A86,S0!$C$2:$Y$89,18)/8 * VLOOKUP($I86,Atributos!$A$28:$B$31,2) * VLOOKUP($J86,Atributos!$A$22:$B$25,2))/5</f>
        <v>0</v>
      </c>
      <c r="M86" s="37">
        <f>+(VLOOKUP($A86,S0!$C$2:$Y$89,19)/8 * VLOOKUP($I86,Atributos!$A$28:$B109,2) * VLOOKUP($J86,Atributos!$A$22:$B103,2))/5</f>
        <v>0</v>
      </c>
      <c r="N86" s="43">
        <f>+VLOOKUP($A86,S0!$C$2:$Y$89,20)/8 * VLOOKUP($I86,Atributos!$A$28:$B$31,2) * VLOOKUP($J86,Atributos!$A$22:$B$25,2)/5</f>
        <v>0</v>
      </c>
      <c r="O86" s="43">
        <f>+VLOOKUP($A86,S0!$C$2:$Y$89,21)/8 * VLOOKUP($I86,Atributos!$A$28:$B$31,2) * VLOOKUP($J86,Atributos!$A$22:$B$25,2)/5</f>
        <v>0</v>
      </c>
      <c r="P86" s="43">
        <f>+VLOOKUP($A86,S0!$C$2:$Y$89,22)/8 * VLOOKUP($I86,Atributos!$A$28:$B$31,2) * VLOOKUP($J86,Atributos!$A$22:$B$25,2)/5</f>
        <v>0</v>
      </c>
      <c r="Q86" s="43">
        <f>+VLOOKUP($A86,S0!$C$2:$Y$89,23)/8 * VLOOKUP($I86,Atributos!$A$28:$B$31,2) * VLOOKUP($J86,Atributos!$A$22:$B$25,2)/5</f>
        <v>0</v>
      </c>
      <c r="R86" s="43">
        <f t="shared" si="15"/>
        <v>0</v>
      </c>
      <c r="S86" s="43">
        <f>+(VLOOKUP($A86,S0!$C$2:$Y$89,19)/8 * VLOOKUP($I86,Atributos!$A$28:$B$31,2) * VLOOKUP($J86,Atributos!$G$22:$H$25,2))/5</f>
        <v>0</v>
      </c>
      <c r="T86" s="43">
        <f>+VLOOKUP($A86,S0!$C$2:$Y$89,20)/8 * VLOOKUP($I86,Atributos!$A$28:$B$31,2) * VLOOKUP($J86,Atributos!$G$22:$H$25,2)/5</f>
        <v>0</v>
      </c>
      <c r="U86" s="43">
        <f>+VLOOKUP($A86,S0!$C$2:$Y$89,21)/8 * VLOOKUP($I86,Atributos!$A$28:$B$31,2) * VLOOKUP($J86,Atributos!$G$22:$H$25,2)/5</f>
        <v>0</v>
      </c>
      <c r="V86" s="43">
        <f>+VLOOKUP($A86,S0!$C$2:$Y$89,22)/8 * VLOOKUP($I86,Atributos!$A$28:$B$31,2) * VLOOKUP($J86,Atributos!$G$22:$H$25,2)/5</f>
        <v>0</v>
      </c>
      <c r="W86" s="43">
        <f>+VLOOKUP($A86,S0!$C$2:$Y$89,23)/8 * VLOOKUP($I86,Atributos!$A$28:$B$31,2) * VLOOKUP($J86,Atributos!$G$22:$H$25,2)/5</f>
        <v>0</v>
      </c>
      <c r="X86" s="43">
        <f t="shared" si="22"/>
        <v>0</v>
      </c>
      <c r="Y86" s="87">
        <f t="shared" si="16"/>
        <v>0</v>
      </c>
      <c r="Z86" s="87">
        <f t="shared" si="17"/>
        <v>0</v>
      </c>
      <c r="AA86" s="87">
        <f t="shared" si="18"/>
        <v>0</v>
      </c>
      <c r="AB86" s="87">
        <f t="shared" si="19"/>
        <v>0</v>
      </c>
      <c r="AC86" s="87">
        <f t="shared" si="20"/>
        <v>0</v>
      </c>
      <c r="AD86" s="87">
        <f t="shared" si="21"/>
        <v>0</v>
      </c>
    </row>
    <row r="87" spans="1:30" ht="195" x14ac:dyDescent="0.25">
      <c r="A87" s="36" t="s">
        <v>557</v>
      </c>
      <c r="B87" s="63" t="str">
        <f>+VLOOKUP(A87,S0!$C$2:$I$89,7)</f>
        <v>SD</v>
      </c>
      <c r="C87" s="62" t="s">
        <v>745</v>
      </c>
      <c r="D87" s="62"/>
      <c r="E87" s="64" t="str">
        <f>+VLOOKUP(A87,S0!$C$2:$I$89,3)</f>
        <v>Pedido de anticipo 
Facturación 
Facturación Electrónica
Utilización del anticipo en la venta 
Reportes</v>
      </c>
      <c r="F87" s="64" t="str">
        <f>+VLOOKUP(A87,S0!$C$2:$I$89,4)</f>
        <v>Este proceso en SAP soporta el uso de la emisión de factura o boleta por el concepto anticipos; es decir, cuando el cliente realiza un adelanto por la adquisición de productos o servicios, que comprará posteriormente en la misma moneda.
Siendo la propuesta de este modelo, aplicar el anticipo como un descuento en el pedido de venta de los productos finales; de modo que, solo se facture el saldo pendiente y emplear la menor cantidad de documentos de facturación. Otra opción es generar un Nota de crédito del anticipo, que luego compensará parcialmente la factura por el importe total de la compra, de modo que el cliente solo paga el saldo de la misma.</v>
      </c>
      <c r="G87" s="64" t="str">
        <f>+VLOOKUP(A87,S0!$C$2:$I$89,5)</f>
        <v xml:space="preserve">Venta Anticipo Afecta al IGV.
Nota de Crédito de Anticipo y Venta Nacional se compensa en la cobranza.
Venta Nacional con Descuento Manual de Anticipo. 
</v>
      </c>
      <c r="H87" s="64" t="str">
        <f>+VLOOKUP(A87,S0!$C$2:$I$89,6)</f>
        <v>No incluye otros impuestos: ISC, plásticos, etc.</v>
      </c>
      <c r="I87" s="46" t="s">
        <v>95</v>
      </c>
      <c r="J87" s="46" t="s">
        <v>87</v>
      </c>
      <c r="K87" s="99"/>
      <c r="L87" s="77">
        <f>+(VLOOKUP($A87,S0!$C$2:$Y$89,18)/8 * VLOOKUP($I87,Atributos!$A$28:$B$31,2) * VLOOKUP($J87,Atributos!$A$22:$B$25,2))/5</f>
        <v>0</v>
      </c>
      <c r="M87" s="37">
        <f>+(VLOOKUP($A87,S0!$C$2:$Y$89,19)/8 * VLOOKUP($I87,Atributos!$A$28:$B110,2) * VLOOKUP($J87,Atributos!$A$22:$B104,2))/5</f>
        <v>0</v>
      </c>
      <c r="N87" s="43">
        <f>+VLOOKUP($A87,S0!$C$2:$Y$89,20)/8 * VLOOKUP($I87,Atributos!$A$28:$B$31,2) * VLOOKUP($J87,Atributos!$A$22:$B$25,2)/5</f>
        <v>0</v>
      </c>
      <c r="O87" s="43">
        <f>+VLOOKUP($A87,S0!$C$2:$Y$89,21)/8 * VLOOKUP($I87,Atributos!$A$28:$B$31,2) * VLOOKUP($J87,Atributos!$A$22:$B$25,2)/5</f>
        <v>0</v>
      </c>
      <c r="P87" s="43">
        <f>+VLOOKUP($A87,S0!$C$2:$Y$89,22)/8 * VLOOKUP($I87,Atributos!$A$28:$B$31,2) * VLOOKUP($J87,Atributos!$A$22:$B$25,2)/5</f>
        <v>0</v>
      </c>
      <c r="Q87" s="43">
        <f>+VLOOKUP($A87,S0!$C$2:$Y$89,23)/8 * VLOOKUP($I87,Atributos!$A$28:$B$31,2) * VLOOKUP($J87,Atributos!$A$22:$B$25,2)/5</f>
        <v>0</v>
      </c>
      <c r="R87" s="43">
        <f t="shared" si="15"/>
        <v>0</v>
      </c>
      <c r="S87" s="43">
        <f>+(VLOOKUP($A87,S0!$C$2:$Y$89,19)/8 * VLOOKUP($I87,Atributos!$A$28:$B$31,2) * VLOOKUP($J87,Atributos!$G$22:$H$25,2))/5</f>
        <v>0</v>
      </c>
      <c r="T87" s="43">
        <f>+VLOOKUP($A87,S0!$C$2:$Y$89,20)/8 * VLOOKUP($I87,Atributos!$A$28:$B$31,2) * VLOOKUP($J87,Atributos!$G$22:$H$25,2)/5</f>
        <v>0</v>
      </c>
      <c r="U87" s="43">
        <f>+VLOOKUP($A87,S0!$C$2:$Y$89,21)/8 * VLOOKUP($I87,Atributos!$A$28:$B$31,2) * VLOOKUP($J87,Atributos!$G$22:$H$25,2)/5</f>
        <v>0</v>
      </c>
      <c r="V87" s="43">
        <f>+VLOOKUP($A87,S0!$C$2:$Y$89,22)/8 * VLOOKUP($I87,Atributos!$A$28:$B$31,2) * VLOOKUP($J87,Atributos!$G$22:$H$25,2)/5</f>
        <v>0</v>
      </c>
      <c r="W87" s="43">
        <f>+VLOOKUP($A87,S0!$C$2:$Y$89,23)/8 * VLOOKUP($I87,Atributos!$A$28:$B$31,2) * VLOOKUP($J87,Atributos!$G$22:$H$25,2)/5</f>
        <v>0</v>
      </c>
      <c r="X87" s="43">
        <f t="shared" si="22"/>
        <v>0</v>
      </c>
      <c r="Y87" s="87">
        <f t="shared" si="16"/>
        <v>0</v>
      </c>
      <c r="Z87" s="87">
        <f t="shared" si="17"/>
        <v>0</v>
      </c>
      <c r="AA87" s="87">
        <f t="shared" si="18"/>
        <v>0</v>
      </c>
      <c r="AB87" s="87">
        <f t="shared" si="19"/>
        <v>0</v>
      </c>
      <c r="AC87" s="87">
        <f t="shared" si="20"/>
        <v>0</v>
      </c>
      <c r="AD87" s="87">
        <f t="shared" si="21"/>
        <v>0</v>
      </c>
    </row>
    <row r="88" spans="1:30" ht="165" x14ac:dyDescent="0.25">
      <c r="A88" s="36" t="s">
        <v>562</v>
      </c>
      <c r="B88" s="63" t="str">
        <f>+VLOOKUP(A88,S0!$C$2:$I$89,7)</f>
        <v>SD</v>
      </c>
      <c r="C88" s="62" t="s">
        <v>747</v>
      </c>
      <c r="D88" s="62"/>
      <c r="E88" s="64" t="str">
        <f>+VLOOKUP(A88,S0!$C$2:$I$89,3)</f>
        <v>Pedido de Venta Calzada
- Verificación de crédito
- Generación de solicitud de pedido 
Proceso de compra
Proceso de Expedición
Facturación
Facturación Electrónica
Reportes</v>
      </c>
      <c r="F88" s="64" t="str">
        <f>+VLOOKUP(A88,S0!$C$2:$I$89,4)</f>
        <v>Este proceso se da cuando el producto que requiere el cliente se abastece con un proceso de compra; si no hay stock disponible entonces desde el pedido de venta se genera una solicitud de compra; el stock que ingresa es exclusivo para la venta calzada.</v>
      </c>
      <c r="G88" s="64" t="str">
        <f>+VLOOKUP(A88,S0!$C$2:$I$89,5)</f>
        <v xml:space="preserve">Venta Afecta al IGV.
Venta Inafecta al IGV.
Venta Afecta al IGV y con Descuento al total del comprobante.
Venta Afecta al IGV y con Descuento en las líneas de detalle.
Venta Afecta al IGV en dólares USD.
</v>
      </c>
      <c r="H88" s="64" t="str">
        <f>+VLOOKUP(A88,S0!$C$2:$I$89,6)</f>
        <v>No incluye otros impuestos: ISC, plásticos, etc.</v>
      </c>
      <c r="I88" s="46" t="s">
        <v>95</v>
      </c>
      <c r="J88" s="46" t="s">
        <v>87</v>
      </c>
      <c r="K88" s="99"/>
      <c r="L88" s="77">
        <f>+(VLOOKUP($A88,S0!$C$2:$Y$89,18)/8 * VLOOKUP($I88,Atributos!$A$28:$B$31,2) * VLOOKUP($J88,Atributos!$A$22:$B$25,2))/5</f>
        <v>0</v>
      </c>
      <c r="M88" s="37">
        <f>+(VLOOKUP($A88,S0!$C$2:$Y$89,19)/8 * VLOOKUP($I88,Atributos!$A$28:$B111,2) * VLOOKUP($J88,Atributos!$A$22:$B105,2))/5</f>
        <v>0</v>
      </c>
      <c r="N88" s="43">
        <f>+VLOOKUP($A88,S0!$C$2:$Y$89,20)/8 * VLOOKUP($I88,Atributos!$A$28:$B$31,2) * VLOOKUP($J88,Atributos!$A$22:$B$25,2)/5</f>
        <v>0</v>
      </c>
      <c r="O88" s="43">
        <f>+VLOOKUP($A88,S0!$C$2:$Y$89,21)/8 * VLOOKUP($I88,Atributos!$A$28:$B$31,2) * VLOOKUP($J88,Atributos!$A$22:$B$25,2)/5</f>
        <v>0</v>
      </c>
      <c r="P88" s="43">
        <f>+VLOOKUP($A88,S0!$C$2:$Y$89,22)/8 * VLOOKUP($I88,Atributos!$A$28:$B$31,2) * VLOOKUP($J88,Atributos!$A$22:$B$25,2)/5</f>
        <v>0</v>
      </c>
      <c r="Q88" s="43">
        <f>+VLOOKUP($A88,S0!$C$2:$Y$89,23)/8 * VLOOKUP($I88,Atributos!$A$28:$B$31,2) * VLOOKUP($J88,Atributos!$A$22:$B$25,2)/5</f>
        <v>0</v>
      </c>
      <c r="R88" s="43">
        <f t="shared" si="15"/>
        <v>0</v>
      </c>
      <c r="S88" s="43">
        <f>+(VLOOKUP($A88,S0!$C$2:$Y$89,19)/8 * VLOOKUP($I88,Atributos!$A$28:$B$31,2) * VLOOKUP($J88,Atributos!$G$22:$H$25,2))/5</f>
        <v>0</v>
      </c>
      <c r="T88" s="43">
        <f>+VLOOKUP($A88,S0!$C$2:$Y$89,20)/8 * VLOOKUP($I88,Atributos!$A$28:$B$31,2) * VLOOKUP($J88,Atributos!$G$22:$H$25,2)/5</f>
        <v>0</v>
      </c>
      <c r="U88" s="43">
        <f>+VLOOKUP($A88,S0!$C$2:$Y$89,21)/8 * VLOOKUP($I88,Atributos!$A$28:$B$31,2) * VLOOKUP($J88,Atributos!$G$22:$H$25,2)/5</f>
        <v>0</v>
      </c>
      <c r="V88" s="43">
        <f>+VLOOKUP($A88,S0!$C$2:$Y$89,22)/8 * VLOOKUP($I88,Atributos!$A$28:$B$31,2) * VLOOKUP($J88,Atributos!$G$22:$H$25,2)/5</f>
        <v>0</v>
      </c>
      <c r="W88" s="43">
        <f>+VLOOKUP($A88,S0!$C$2:$Y$89,23)/8 * VLOOKUP($I88,Atributos!$A$28:$B$31,2) * VLOOKUP($J88,Atributos!$G$22:$H$25,2)/5</f>
        <v>0</v>
      </c>
      <c r="X88" s="43">
        <f t="shared" si="22"/>
        <v>0</v>
      </c>
      <c r="Y88" s="87">
        <f t="shared" si="16"/>
        <v>0</v>
      </c>
      <c r="Z88" s="87">
        <f t="shared" si="17"/>
        <v>0</v>
      </c>
      <c r="AA88" s="87">
        <f t="shared" si="18"/>
        <v>0</v>
      </c>
      <c r="AB88" s="87">
        <f t="shared" si="19"/>
        <v>0</v>
      </c>
      <c r="AC88" s="87">
        <f t="shared" si="20"/>
        <v>0</v>
      </c>
      <c r="AD88" s="87">
        <f t="shared" si="21"/>
        <v>0</v>
      </c>
    </row>
    <row r="89" spans="1:30" ht="195" x14ac:dyDescent="0.25">
      <c r="A89" s="36" t="s">
        <v>567</v>
      </c>
      <c r="B89" s="63" t="str">
        <f>+VLOOKUP(A89,S0!$C$2:$I$89,7)</f>
        <v>SD</v>
      </c>
      <c r="C89" s="117" t="s">
        <v>568</v>
      </c>
      <c r="D89" s="62" t="s">
        <v>746</v>
      </c>
      <c r="E89" s="64" t="str">
        <f>+VLOOKUP(A89,S0!$C$2:$I$89,3)</f>
        <v>Pedido de Transferencia Gratuita y Donaciones
- Verificación de stock
Proceso de Expedición
Facturación
Reportes</v>
      </c>
      <c r="F89" s="64" t="str">
        <f>+VLOOKUP(A89,S0!$C$2:$I$89,4)</f>
        <v>Estos procesos son soportados en SAP bajo ciertas particularidades:
- El caso de transferencia gratuita se presenta cuando se regala un producto; por lo tanto, la venta estaría valorizado a cero. Para ello, se aplica un descuento del 100% al precio de venta y en el documento de facturación, se debe indicar que es corresponde a una transferencia gratuita. 
- El caso de donaciones se genera cuando se concede a una entidad y dependencia del Sector Público Nacional mercadería para brindarles apoyo o ayuda.  En dicho caso, la factura se emite con el valor de venta regular pero el importe a cobrar es cero.</v>
      </c>
      <c r="G89" s="64" t="str">
        <f>+VLOOKUP(A89,S0!$C$2:$I$89,5)</f>
        <v xml:space="preserve">Venta Transferencia Gratuita afecta a IGV
Venta Donaciones Inafecta
</v>
      </c>
      <c r="H89" s="64">
        <f>+VLOOKUP(A89,S0!$C$2:$I$89,6)</f>
        <v>0</v>
      </c>
      <c r="I89" s="46" t="s">
        <v>92</v>
      </c>
      <c r="J89" s="46" t="s">
        <v>87</v>
      </c>
      <c r="K89" s="99"/>
      <c r="L89" s="77">
        <f>+(VLOOKUP($A89,S0!$C$2:$Y$89,18)/8 * VLOOKUP($I89,Atributos!$A$28:$B$31,2) * VLOOKUP($J89,Atributos!$A$22:$B$25,2))/5</f>
        <v>3.7499999999999999E-2</v>
      </c>
      <c r="M89" s="37">
        <f>+(VLOOKUP($A89,S0!$C$2:$Y$89,19)/8 * VLOOKUP($I89,Atributos!$A$28:$B112,2) * VLOOKUP($J89,Atributos!$A$22:$B106,2))/5</f>
        <v>0.15</v>
      </c>
      <c r="N89" s="43">
        <f>+VLOOKUP($A89,S0!$C$2:$Y$89,20)/8 * VLOOKUP($I89,Atributos!$A$28:$B$31,2) * VLOOKUP($J89,Atributos!$A$22:$B$25,2)/5</f>
        <v>0.6</v>
      </c>
      <c r="O89" s="43">
        <f>+VLOOKUP($A89,S0!$C$2:$Y$89,21)/8 * VLOOKUP($I89,Atributos!$A$28:$B$31,2) * VLOOKUP($J89,Atributos!$A$22:$B$25,2)/5</f>
        <v>1.2</v>
      </c>
      <c r="P89" s="43">
        <f>+VLOOKUP($A89,S0!$C$2:$Y$89,22)/8 * VLOOKUP($I89,Atributos!$A$28:$B$31,2) * VLOOKUP($J89,Atributos!$A$22:$B$25,2)/5</f>
        <v>0.3</v>
      </c>
      <c r="Q89" s="43">
        <f>+VLOOKUP($A89,S0!$C$2:$Y$89,23)/8 * VLOOKUP($I89,Atributos!$A$28:$B$31,2) * VLOOKUP($J89,Atributos!$A$22:$B$25,2)/5</f>
        <v>0.3</v>
      </c>
      <c r="R89" s="43">
        <f t="shared" si="15"/>
        <v>2.25</v>
      </c>
      <c r="S89" s="43">
        <f>+(VLOOKUP($A89,S0!$C$2:$Y$89,19)/8 * VLOOKUP($I89,Atributos!$A$28:$B$31,2) * VLOOKUP($J89,Atributos!$G$22:$H$25,2))/5</f>
        <v>0.05</v>
      </c>
      <c r="T89" s="43">
        <f>+VLOOKUP($A89,S0!$C$2:$Y$89,20)/8 * VLOOKUP($I89,Atributos!$A$28:$B$31,2) * VLOOKUP($J89,Atributos!$G$22:$H$25,2)/5</f>
        <v>0.4</v>
      </c>
      <c r="U89" s="43">
        <f>+VLOOKUP($A89,S0!$C$2:$Y$89,21)/8 * VLOOKUP($I89,Atributos!$A$28:$B$31,2) * VLOOKUP($J89,Atributos!$G$22:$H$25,2)/5</f>
        <v>0.8</v>
      </c>
      <c r="V89" s="43">
        <f>+VLOOKUP($A89,S0!$C$2:$Y$89,22)/8 * VLOOKUP($I89,Atributos!$A$28:$B$31,2) * VLOOKUP($J89,Atributos!$G$22:$H$25,2)/5</f>
        <v>0.2</v>
      </c>
      <c r="W89" s="43">
        <f>+VLOOKUP($A89,S0!$C$2:$Y$89,23)/8 * VLOOKUP($I89,Atributos!$A$28:$B$31,2) * VLOOKUP($J89,Atributos!$G$22:$H$25,2)/5</f>
        <v>0.2</v>
      </c>
      <c r="X89" s="43">
        <f t="shared" si="22"/>
        <v>1.45</v>
      </c>
      <c r="Y89" s="87">
        <f t="shared" si="16"/>
        <v>0.1</v>
      </c>
      <c r="Z89" s="87">
        <f t="shared" si="17"/>
        <v>0.5</v>
      </c>
      <c r="AA89" s="87">
        <f t="shared" si="18"/>
        <v>1</v>
      </c>
      <c r="AB89" s="87">
        <f t="shared" si="19"/>
        <v>0.25</v>
      </c>
      <c r="AC89" s="87">
        <f t="shared" si="20"/>
        <v>0.25</v>
      </c>
      <c r="AD89" s="87">
        <f t="shared" si="21"/>
        <v>1.85</v>
      </c>
    </row>
    <row r="90" spans="1:30" ht="240" x14ac:dyDescent="0.25">
      <c r="A90" s="36" t="s">
        <v>572</v>
      </c>
      <c r="B90" s="63" t="str">
        <f>+VLOOKUP(A90,S0!$C$2:$I$89,7)</f>
        <v>SD</v>
      </c>
      <c r="C90" s="117" t="s">
        <v>753</v>
      </c>
      <c r="D90" s="62" t="s">
        <v>752</v>
      </c>
      <c r="E90" s="64" t="str">
        <f>+VLOOKUP(A90,S0!$C$2:$I$89,3)</f>
        <v>Venta Intercompany (Proceso de compras MM) en la sociedad compradora
Proceso de Expedición (en la sociedad vendedora)
Facturación (en la sociedad vendedora)
Facturación Electrónica
Entrada de Mercadería (Proceso MM en la sociedad compradora)
Registro de Factura
Conciliación manual entre cuenta por cobrar y cuenta por pagar entre sociedades
Devolución Intercompany
Reportes</v>
      </c>
      <c r="F90" s="64" t="str">
        <f>+VLOOKUP(A90,S0!$C$2:$I$89,4)</f>
        <v xml:space="preserve">Este proceso comercial se desarrolla entre dos empresas (sociedades) que pertenecen a una misma organización o grupo empresarial. La empresa ordenante solicita mercancías de un centro que pertenece a otra sociedad y dado que, cada empresa tiene su propio plan contable, la empresa que entrega la mercadería debe facturar a la sociedad que ingrese el pedido de compra intercompany. El precio de dicha factura tiene un valor que permite a la empresa proveedora cubrir sus costos. </v>
      </c>
      <c r="G90" s="64" t="str">
        <f>+VLOOKUP(A90,S0!$C$2:$I$89,5)</f>
        <v xml:space="preserve">Venta Intercompany Afecta al IGV.
Venta Intercompany Inafecta al IGV.
</v>
      </c>
      <c r="H90" s="64" t="str">
        <f>+VLOOKUP(A90,S0!$C$2:$I$89,6)</f>
        <v>Entre sociedades de Perú</v>
      </c>
      <c r="I90" s="46" t="s">
        <v>92</v>
      </c>
      <c r="J90" s="46" t="s">
        <v>87</v>
      </c>
      <c r="K90" s="99"/>
      <c r="L90" s="77">
        <f>+(VLOOKUP($A90,S0!$C$2:$Y$89,18)/8 * VLOOKUP($I90,Atributos!$A$28:$B$31,2) * VLOOKUP($J90,Atributos!$A$22:$B$25,2))/5</f>
        <v>3.7499999999999999E-2</v>
      </c>
      <c r="M90" s="37">
        <f>+(VLOOKUP($A90,S0!$C$2:$Y$89,19)/8 * VLOOKUP($I90,Atributos!$A$28:$B113,2) * VLOOKUP($J90,Atributos!$A$22:$B107,2))/5</f>
        <v>0.15</v>
      </c>
      <c r="N90" s="43">
        <f>+VLOOKUP($A90,S0!$C$2:$Y$89,20)/8 * VLOOKUP($I90,Atributos!$A$28:$B$31,2) * VLOOKUP($J90,Atributos!$A$22:$B$25,2)/5</f>
        <v>0.6</v>
      </c>
      <c r="O90" s="43">
        <f>+VLOOKUP($A90,S0!$C$2:$Y$89,21)/8 * VLOOKUP($I90,Atributos!$A$28:$B$31,2) * VLOOKUP($J90,Atributos!$A$22:$B$25,2)/5</f>
        <v>1.2</v>
      </c>
      <c r="P90" s="43">
        <f>+VLOOKUP($A90,S0!$C$2:$Y$89,22)/8 * VLOOKUP($I90,Atributos!$A$28:$B$31,2) * VLOOKUP($J90,Atributos!$A$22:$B$25,2)/5</f>
        <v>0.3</v>
      </c>
      <c r="Q90" s="43">
        <f>+VLOOKUP($A90,S0!$C$2:$Y$89,23)/8 * VLOOKUP($I90,Atributos!$A$28:$B$31,2) * VLOOKUP($J90,Atributos!$A$22:$B$25,2)/5</f>
        <v>0.3</v>
      </c>
      <c r="R90" s="43">
        <f t="shared" si="15"/>
        <v>2.25</v>
      </c>
      <c r="S90" s="43">
        <f>+(VLOOKUP($A90,S0!$C$2:$Y$89,19)/8 * VLOOKUP($I90,Atributos!$A$28:$B$31,2) * VLOOKUP($J90,Atributos!$G$22:$H$25,2))/5</f>
        <v>0.05</v>
      </c>
      <c r="T90" s="43">
        <f>+VLOOKUP($A90,S0!$C$2:$Y$89,20)/8 * VLOOKUP($I90,Atributos!$A$28:$B$31,2) * VLOOKUP($J90,Atributos!$G$22:$H$25,2)/5</f>
        <v>0.4</v>
      </c>
      <c r="U90" s="43">
        <f>+VLOOKUP($A90,S0!$C$2:$Y$89,21)/8 * VLOOKUP($I90,Atributos!$A$28:$B$31,2) * VLOOKUP($J90,Atributos!$G$22:$H$25,2)/5</f>
        <v>0.8</v>
      </c>
      <c r="V90" s="43">
        <f>+VLOOKUP($A90,S0!$C$2:$Y$89,22)/8 * VLOOKUP($I90,Atributos!$A$28:$B$31,2) * VLOOKUP($J90,Atributos!$G$22:$H$25,2)/5</f>
        <v>0.2</v>
      </c>
      <c r="W90" s="43">
        <f>+VLOOKUP($A90,S0!$C$2:$Y$89,23)/8 * VLOOKUP($I90,Atributos!$A$28:$B$31,2) * VLOOKUP($J90,Atributos!$G$22:$H$25,2)/5</f>
        <v>0.2</v>
      </c>
      <c r="X90" s="43">
        <f t="shared" si="22"/>
        <v>1.45</v>
      </c>
      <c r="Y90" s="87">
        <f t="shared" si="16"/>
        <v>0.1</v>
      </c>
      <c r="Z90" s="87">
        <f t="shared" si="17"/>
        <v>0.5</v>
      </c>
      <c r="AA90" s="87">
        <f t="shared" si="18"/>
        <v>1</v>
      </c>
      <c r="AB90" s="87">
        <f t="shared" si="19"/>
        <v>0.25</v>
      </c>
      <c r="AC90" s="87">
        <f t="shared" si="20"/>
        <v>0.25</v>
      </c>
      <c r="AD90" s="87">
        <f t="shared" si="21"/>
        <v>1.85</v>
      </c>
    </row>
    <row r="91" spans="1:30" ht="60" x14ac:dyDescent="0.25">
      <c r="A91" s="36" t="s">
        <v>578</v>
      </c>
      <c r="B91" s="63" t="str">
        <f>+VLOOKUP(A91,S0!$C$2:$I$89,7)</f>
        <v>SD</v>
      </c>
      <c r="C91" s="117" t="s">
        <v>754</v>
      </c>
      <c r="D91" s="62" t="s">
        <v>755</v>
      </c>
      <c r="E91" s="64">
        <f>+VLOOKUP(A91,S0!$C$2:$I$89,3)</f>
        <v>0</v>
      </c>
      <c r="F91" s="64">
        <f>+VLOOKUP(A91,S0!$C$2:$I$89,4)</f>
        <v>0</v>
      </c>
      <c r="G91" s="64">
        <f>+VLOOKUP(A91,S0!$C$2:$I$89,5)</f>
        <v>0</v>
      </c>
      <c r="H91" s="64">
        <f>+VLOOKUP(A91,S0!$C$2:$I$89,6)</f>
        <v>0</v>
      </c>
      <c r="I91" s="46" t="s">
        <v>95</v>
      </c>
      <c r="J91" s="46" t="s">
        <v>87</v>
      </c>
      <c r="K91" s="99"/>
      <c r="L91" s="77">
        <f>+(VLOOKUP($A91,S0!$C$2:$Y$89,18)/8 * VLOOKUP($I91,Atributos!$A$28:$B$31,2) * VLOOKUP($J91,Atributos!$A$22:$B$25,2))/5</f>
        <v>0</v>
      </c>
      <c r="M91" s="37">
        <f>+(VLOOKUP($A91,S0!$C$2:$Y$89,19)/8 * VLOOKUP($I91,Atributos!$A$28:$B114,2) * VLOOKUP($J91,Atributos!$A$22:$B108,2))/5</f>
        <v>0.5</v>
      </c>
      <c r="N91" s="43">
        <f>+VLOOKUP($A91,S0!$C$2:$Y$89,20)/8 * VLOOKUP($I91,Atributos!$A$28:$B$31,2) * VLOOKUP($J91,Atributos!$A$22:$B$25,2)/5</f>
        <v>0</v>
      </c>
      <c r="O91" s="43">
        <f>+VLOOKUP($A91,S0!$C$2:$Y$89,21)/8 * VLOOKUP($I91,Atributos!$A$28:$B$31,2) * VLOOKUP($J91,Atributos!$A$22:$B$25,2)/5</f>
        <v>0</v>
      </c>
      <c r="P91" s="43">
        <f>+VLOOKUP($A91,S0!$C$2:$Y$89,22)/8 * VLOOKUP($I91,Atributos!$A$28:$B$31,2) * VLOOKUP($J91,Atributos!$A$22:$B$25,2)/5</f>
        <v>0</v>
      </c>
      <c r="Q91" s="43">
        <f>+VLOOKUP($A91,S0!$C$2:$Y$89,23)/8 * VLOOKUP($I91,Atributos!$A$28:$B$31,2) * VLOOKUP($J91,Atributos!$A$22:$B$25,2)/5</f>
        <v>0</v>
      </c>
      <c r="R91" s="43">
        <f t="shared" si="15"/>
        <v>0.5</v>
      </c>
      <c r="S91" s="43">
        <f>+(VLOOKUP($A91,S0!$C$2:$Y$89,19)/8 * VLOOKUP($I91,Atributos!$A$28:$B$31,2) * VLOOKUP($J91,Atributos!$G$22:$H$25,2))/5</f>
        <v>0</v>
      </c>
      <c r="T91" s="43">
        <f>+VLOOKUP($A91,S0!$C$2:$Y$89,20)/8 * VLOOKUP($I91,Atributos!$A$28:$B$31,2) * VLOOKUP($J91,Atributos!$G$22:$H$25,2)/5</f>
        <v>0</v>
      </c>
      <c r="U91" s="43">
        <f>+VLOOKUP($A91,S0!$C$2:$Y$89,21)/8 * VLOOKUP($I91,Atributos!$A$28:$B$31,2) * VLOOKUP($J91,Atributos!$G$22:$H$25,2)/5</f>
        <v>0</v>
      </c>
      <c r="V91" s="43">
        <f>+VLOOKUP($A91,S0!$C$2:$Y$89,22)/8 * VLOOKUP($I91,Atributos!$A$28:$B$31,2) * VLOOKUP($J91,Atributos!$G$22:$H$25,2)/5</f>
        <v>0</v>
      </c>
      <c r="W91" s="43">
        <f>+VLOOKUP($A91,S0!$C$2:$Y$89,23)/8 * VLOOKUP($I91,Atributos!$A$28:$B$31,2) * VLOOKUP($J91,Atributos!$G$22:$H$25,2)/5</f>
        <v>0</v>
      </c>
      <c r="X91" s="43">
        <f t="shared" si="22"/>
        <v>0</v>
      </c>
      <c r="Y91" s="87">
        <f t="shared" si="16"/>
        <v>0.25</v>
      </c>
      <c r="Z91" s="87">
        <f t="shared" si="17"/>
        <v>0</v>
      </c>
      <c r="AA91" s="87">
        <f t="shared" si="18"/>
        <v>0</v>
      </c>
      <c r="AB91" s="87">
        <f t="shared" si="19"/>
        <v>0</v>
      </c>
      <c r="AC91" s="87">
        <f t="shared" si="20"/>
        <v>0</v>
      </c>
      <c r="AD91" s="87">
        <f t="shared" si="21"/>
        <v>0.25</v>
      </c>
    </row>
    <row r="92" spans="1:30" ht="357" customHeight="1" x14ac:dyDescent="0.25">
      <c r="A92" s="36" t="s">
        <v>580</v>
      </c>
      <c r="B92" s="63" t="str">
        <f>+VLOOKUP(A92,S0!$C$2:$I$89,7)</f>
        <v>SD</v>
      </c>
      <c r="C92" s="62" t="s">
        <v>748</v>
      </c>
      <c r="D92" s="62"/>
      <c r="E92" s="64" t="str">
        <f>+VLOOKUP(A92,S0!$C$2:$I$89,3)</f>
        <v>Reposición de artículos en consignación:
- Pedido de Reposición Art. en consignación
- Proceso de Expedición
Toma de artículos en consignación
- Pedido de Toma Art. en consignación
- Procedo de Expedición
- Facturación
- Facturación Electrónica
Recojo de artículos en consignación
- Pedido de Recojo Art. en consignación
- Proceso de Expedición
Devolución de artículos en consignación
- Pedido de Devolución Art. en consignación
- Proceso de Expedición
- Facturación
- Facturación Electrónica
Reportes</v>
      </c>
      <c r="F92" s="64" t="str">
        <f>+VLOOKUP(A92,S0!$C$2:$I$89,4)</f>
        <v>Este proceso se da cuando la empresa da en consignación sus productos por ejemplo a distribuidores menores; el stock físicamente va a los distribuidores, pero aún es propiedad de la empresa; hasta que el distribuidor hace la venta al cliente final. 
Hay 4 escenarios para el tratamiento de este proceso: 
- La reposición del producto o envió a consignación al distribuidor
- La toma cuando el producto consignado se vende al cliente final
- El recojo cuando el distribuidor devuelve el producto a la empresa
- La devolución cuando el cliente final devuelve el producto al distribuidor</v>
      </c>
      <c r="G92" s="64" t="str">
        <f>+VLOOKUP(A92,S0!$C$2:$I$89,5)</f>
        <v xml:space="preserve">Reposición de artículos en Consignación sin Precio.
Toma de artículos en Consignación Afecto al IGV.
Devolución de artículos en Consignación Afecto al IGV.
Recojo de artículos en Consignación sin Precio.
</v>
      </c>
      <c r="H92" s="64">
        <f>+VLOOKUP(A92,S0!$C$2:$I$89,6)</f>
        <v>0</v>
      </c>
      <c r="I92" s="46" t="s">
        <v>92</v>
      </c>
      <c r="J92" s="46" t="s">
        <v>88</v>
      </c>
      <c r="K92" s="99" t="s">
        <v>632</v>
      </c>
      <c r="L92" s="77">
        <f>+(VLOOKUP($A92,S0!$C$2:$Y$89,18)/8 * VLOOKUP($I92,Atributos!$A$28:$B$31,2) * VLOOKUP($J92,Atributos!$A$22:$B$25,2))/5</f>
        <v>5.6250000000000001E-2</v>
      </c>
      <c r="M92" s="37">
        <f>+(VLOOKUP($A92,S0!$C$2:$Y$89,19)/8 * VLOOKUP($I92,Atributos!$A$28:$B115,2) * VLOOKUP($J92,Atributos!$A$22:$B109,2))/5</f>
        <v>0.3</v>
      </c>
      <c r="N92" s="43">
        <f>+VLOOKUP($A92,S0!$C$2:$Y$89,20)/8 * VLOOKUP($I92,Atributos!$A$28:$B$31,2) * VLOOKUP($J92,Atributos!$A$22:$B$25,2)/5</f>
        <v>0.9</v>
      </c>
      <c r="O92" s="43">
        <f>+VLOOKUP($A92,S0!$C$2:$Y$89,21)/8 * VLOOKUP($I92,Atributos!$A$28:$B$31,2) * VLOOKUP($J92,Atributos!$A$22:$B$25,2)/5</f>
        <v>1.8</v>
      </c>
      <c r="P92" s="43">
        <f>+VLOOKUP($A92,S0!$C$2:$Y$89,22)/8 * VLOOKUP($I92,Atributos!$A$28:$B$31,2) * VLOOKUP($J92,Atributos!$A$22:$B$25,2)/5</f>
        <v>0.45</v>
      </c>
      <c r="Q92" s="43">
        <f>+VLOOKUP($A92,S0!$C$2:$Y$89,23)/8 * VLOOKUP($I92,Atributos!$A$28:$B$31,2) * VLOOKUP($J92,Atributos!$A$22:$B$25,2)/5</f>
        <v>0.45</v>
      </c>
      <c r="R92" s="43">
        <f t="shared" si="15"/>
        <v>3.45</v>
      </c>
      <c r="S92" s="43">
        <f>+(VLOOKUP($A92,S0!$C$2:$Y$89,19)/8 * VLOOKUP($I92,Atributos!$A$28:$B$31,2) * VLOOKUP($J92,Atributos!$G$22:$H$25,2))/5</f>
        <v>7.4999999999999997E-2</v>
      </c>
      <c r="T92" s="43">
        <f>+VLOOKUP($A92,S0!$C$2:$Y$89,20)/8 * VLOOKUP($I92,Atributos!$A$28:$B$31,2) * VLOOKUP($J92,Atributos!$G$22:$H$25,2)/5</f>
        <v>0.6</v>
      </c>
      <c r="U92" s="43">
        <f>+VLOOKUP($A92,S0!$C$2:$Y$89,21)/8 * VLOOKUP($I92,Atributos!$A$28:$B$31,2) * VLOOKUP($J92,Atributos!$G$22:$H$25,2)/5</f>
        <v>1.2</v>
      </c>
      <c r="V92" s="43">
        <f>+VLOOKUP($A92,S0!$C$2:$Y$89,22)/8 * VLOOKUP($I92,Atributos!$A$28:$B$31,2) * VLOOKUP($J92,Atributos!$G$22:$H$25,2)/5</f>
        <v>0.3</v>
      </c>
      <c r="W92" s="43">
        <f>+VLOOKUP($A92,S0!$C$2:$Y$89,23)/8 * VLOOKUP($I92,Atributos!$A$28:$B$31,2) * VLOOKUP($J92,Atributos!$G$22:$H$25,2)/5</f>
        <v>0.3</v>
      </c>
      <c r="X92" s="43">
        <f t="shared" si="22"/>
        <v>2.1749999999999998</v>
      </c>
      <c r="Y92" s="87">
        <f t="shared" si="16"/>
        <v>0.1875</v>
      </c>
      <c r="Z92" s="87">
        <f t="shared" si="17"/>
        <v>0.75</v>
      </c>
      <c r="AA92" s="87">
        <f t="shared" si="18"/>
        <v>1.5</v>
      </c>
      <c r="AB92" s="87">
        <f t="shared" si="19"/>
        <v>0.375</v>
      </c>
      <c r="AC92" s="87">
        <f t="shared" si="20"/>
        <v>0.375</v>
      </c>
      <c r="AD92" s="87">
        <f t="shared" si="21"/>
        <v>2.8125</v>
      </c>
    </row>
    <row r="93" spans="1:30" ht="150" x14ac:dyDescent="0.25">
      <c r="A93" s="36" t="s">
        <v>586</v>
      </c>
      <c r="B93" s="63" t="str">
        <f>+VLOOKUP(A93,S0!$C$2:$I$89,7)</f>
        <v>SD</v>
      </c>
      <c r="C93" s="117" t="s">
        <v>587</v>
      </c>
      <c r="D93" s="62" t="s">
        <v>749</v>
      </c>
      <c r="E93" s="64" t="str">
        <f>+VLOOKUP(A93,S0!$C$2:$I$89,3)</f>
        <v>Contrato por Valor
- Contrato
- Pedido mensual 
- Facturación
- Facturación Electrónica
Contrato con Plan de Facturación
- Contrato
- Facturación
- Facturación Electrónica
Reportes</v>
      </c>
      <c r="F93" s="64" t="str">
        <f>+VLOOKUP(A93,S0!$C$2:$I$89,4)</f>
        <v>Esta funcionalidad da soporte para registrar contratos por valor por ejemplo si la empresa tiene contratos de alquiler que facturan mensualmente.</v>
      </c>
      <c r="G93" s="64" t="str">
        <f>+VLOOKUP(A93,S0!$C$2:$I$89,5)</f>
        <v xml:space="preserve">Contrato con Pedido de Venta Afecto al IGV.
Contrato con Plan de Facturación Afecto al IGV.
</v>
      </c>
      <c r="H93" s="64">
        <f>+VLOOKUP(A93,S0!$C$2:$I$89,6)</f>
        <v>0</v>
      </c>
      <c r="I93" s="46" t="s">
        <v>95</v>
      </c>
      <c r="J93" s="46" t="s">
        <v>87</v>
      </c>
      <c r="K93" s="99"/>
      <c r="L93" s="77">
        <f>+(VLOOKUP($A93,S0!$C$2:$Y$89,18)/8 * VLOOKUP($I93,Atributos!$A$28:$B$31,2) * VLOOKUP($J93,Atributos!$A$22:$B$25,2))/5</f>
        <v>0</v>
      </c>
      <c r="M93" s="37">
        <f>+(VLOOKUP($A93,S0!$C$2:$Y$89,19)/8 * VLOOKUP($I93,Atributos!$A$28:$B116,2) * VLOOKUP($J93,Atributos!$A$22:$B110,2))/5</f>
        <v>0.5</v>
      </c>
      <c r="N93" s="43">
        <f>+VLOOKUP($A93,S0!$C$2:$Y$89,20)/8 * VLOOKUP($I93,Atributos!$A$28:$B$31,2) * VLOOKUP($J93,Atributos!$A$22:$B$25,2)/5</f>
        <v>0</v>
      </c>
      <c r="O93" s="43">
        <f>+VLOOKUP($A93,S0!$C$2:$Y$89,21)/8 * VLOOKUP($I93,Atributos!$A$28:$B$31,2) * VLOOKUP($J93,Atributos!$A$22:$B$25,2)/5</f>
        <v>0</v>
      </c>
      <c r="P93" s="43">
        <f>+VLOOKUP($A93,S0!$C$2:$Y$89,22)/8 * VLOOKUP($I93,Atributos!$A$28:$B$31,2) * VLOOKUP($J93,Atributos!$A$22:$B$25,2)/5</f>
        <v>0</v>
      </c>
      <c r="Q93" s="43">
        <f>+VLOOKUP($A93,S0!$C$2:$Y$89,23)/8 * VLOOKUP($I93,Atributos!$A$28:$B$31,2) * VLOOKUP($J93,Atributos!$A$22:$B$25,2)/5</f>
        <v>0</v>
      </c>
      <c r="R93" s="43">
        <f t="shared" si="15"/>
        <v>0.5</v>
      </c>
      <c r="S93" s="43">
        <f>+(VLOOKUP($A93,S0!$C$2:$Y$89,19)/8 * VLOOKUP($I93,Atributos!$A$28:$B$31,2) * VLOOKUP($J93,Atributos!$G$22:$H$25,2))/5</f>
        <v>0</v>
      </c>
      <c r="T93" s="43">
        <f>+VLOOKUP($A93,S0!$C$2:$Y$89,20)/8 * VLOOKUP($I93,Atributos!$A$28:$B$31,2) * VLOOKUP($J93,Atributos!$G$22:$H$25,2)/5</f>
        <v>0</v>
      </c>
      <c r="U93" s="43">
        <f>+VLOOKUP($A93,S0!$C$2:$Y$89,21)/8 * VLOOKUP($I93,Atributos!$A$28:$B$31,2) * VLOOKUP($J93,Atributos!$G$22:$H$25,2)/5</f>
        <v>0</v>
      </c>
      <c r="V93" s="43">
        <f>+VLOOKUP($A93,S0!$C$2:$Y$89,22)/8 * VLOOKUP($I93,Atributos!$A$28:$B$31,2) * VLOOKUP($J93,Atributos!$G$22:$H$25,2)/5</f>
        <v>0</v>
      </c>
      <c r="W93" s="43">
        <f>+VLOOKUP($A93,S0!$C$2:$Y$89,23)/8 * VLOOKUP($I93,Atributos!$A$28:$B$31,2) * VLOOKUP($J93,Atributos!$G$22:$H$25,2)/5</f>
        <v>0</v>
      </c>
      <c r="X93" s="43">
        <f t="shared" si="22"/>
        <v>0</v>
      </c>
      <c r="Y93" s="87">
        <f t="shared" si="16"/>
        <v>0.25</v>
      </c>
      <c r="Z93" s="87">
        <f t="shared" si="17"/>
        <v>0</v>
      </c>
      <c r="AA93" s="87">
        <f t="shared" si="18"/>
        <v>0</v>
      </c>
      <c r="AB93" s="87">
        <f t="shared" si="19"/>
        <v>0</v>
      </c>
      <c r="AC93" s="87">
        <f t="shared" si="20"/>
        <v>0</v>
      </c>
      <c r="AD93" s="87">
        <f t="shared" si="21"/>
        <v>0.25</v>
      </c>
    </row>
    <row r="94" spans="1:30" ht="150" x14ac:dyDescent="0.25">
      <c r="A94" s="2" t="s">
        <v>633</v>
      </c>
      <c r="B94" s="38" t="str">
        <f>+VLOOKUP(A94,S0!$C$2:$I$88,7)</f>
        <v>SD</v>
      </c>
      <c r="C94" s="117" t="s">
        <v>756</v>
      </c>
      <c r="D94" s="62" t="s">
        <v>757</v>
      </c>
      <c r="E94" s="39" t="str">
        <f>+VLOOKUP(A94,S0!$C$2:$I$88,3)</f>
        <v>Contrato por Valor
- Contrato
- Pedido mensual 
- Facturación
- Facturación Electrónica
Contrato con Plan de Facturación
- Contrato
- Facturación
- Facturación Electrónica
Reportes</v>
      </c>
      <c r="F94" s="39" t="str">
        <f>+VLOOKUP(A94,S0!$C$2:$I$88,4)</f>
        <v>Esta funcionalidad da soporte para registrar contratos por valor por ejemplo si la empresa tiene contratos de alquiler que facturan mensualmente.</v>
      </c>
      <c r="G94" s="39" t="str">
        <f>+VLOOKUP(A94,S0!$C$2:$I$88,5)</f>
        <v xml:space="preserve">Contrato con Pedido de Venta Afecto al IGV.
Contrato con Plan de Facturación Afecto al IGV.
</v>
      </c>
      <c r="H94" s="39">
        <f>+VLOOKUP(A94,S0!$C$2:$I$88,6)</f>
        <v>0</v>
      </c>
      <c r="I94" s="46" t="s">
        <v>95</v>
      </c>
      <c r="J94" s="46" t="s">
        <v>87</v>
      </c>
      <c r="K94" s="99"/>
      <c r="L94" s="77">
        <f>+(VLOOKUP($A94,S0!$C$2:$Y$89,18)/8 * VLOOKUP($I94,Atributos!$A$28:$B$31,2) * VLOOKUP($J94,Atributos!$A$22:$B$25,2))/5</f>
        <v>0</v>
      </c>
      <c r="M94" s="37">
        <f>+(VLOOKUP($A94,S0!$C$2:$Y$88,19)/8 * VLOOKUP($I94,Atributos!$A$28:$B118,2) * VLOOKUP($J94,Atributos!$A$22:$B112,2))/5</f>
        <v>0.5</v>
      </c>
      <c r="N94" s="43">
        <f>+VLOOKUP($A94,S0!$C$2:$Y$89,20)/8 * VLOOKUP($I94,Atributos!$A$28:$B$31,2) * VLOOKUP($J94,Atributos!$A$22:$B$25,2)/5</f>
        <v>0</v>
      </c>
      <c r="O94" s="43">
        <f>+VLOOKUP($A94,S0!$C$2:$Y$89,21)/8 * VLOOKUP($I94,Atributos!$A$28:$B$31,2) * VLOOKUP($J94,Atributos!$A$22:$B$25,2)/5</f>
        <v>0</v>
      </c>
      <c r="P94" s="43">
        <f>+VLOOKUP($A94,S0!$C$2:$Y$89,22)/8 * VLOOKUP($I94,Atributos!$A$28:$B$31,2) * VLOOKUP($J94,Atributos!$A$22:$B$25,2)/5</f>
        <v>0</v>
      </c>
      <c r="Q94" s="43">
        <f>+VLOOKUP($A94,S0!$C$2:$Y$89,23)/8 * VLOOKUP($I94,Atributos!$A$28:$B$31,2) * VLOOKUP($J94,Atributos!$A$22:$B$25,2)/5</f>
        <v>0</v>
      </c>
      <c r="R94" s="43">
        <f t="shared" si="15"/>
        <v>0.5</v>
      </c>
      <c r="S94" s="43">
        <f>+(VLOOKUP($A94,S0!$C$2:$Y$89,19)/8 * VLOOKUP($I94,Atributos!$A$28:$B$31,2) * VLOOKUP($J94,Atributos!$G$22:$H$25,2))/5</f>
        <v>0</v>
      </c>
      <c r="T94" s="43">
        <f>+VLOOKUP($A94,S0!$C$2:$Y$89,20)/8 * VLOOKUP($I94,Atributos!$A$28:$B$31,2) * VLOOKUP($J94,Atributos!$G$22:$H$25,2)/5</f>
        <v>0</v>
      </c>
      <c r="U94" s="43">
        <f>+VLOOKUP($A94,S0!$C$2:$Y$89,21)/8 * VLOOKUP($I94,Atributos!$A$28:$B$31,2) * VLOOKUP($J94,Atributos!$G$22:$H$25,2)/5</f>
        <v>0</v>
      </c>
      <c r="V94" s="43">
        <f>+VLOOKUP($A94,S0!$C$2:$Y$89,22)/8 * VLOOKUP($I94,Atributos!$A$28:$B$31,2) * VLOOKUP($J94,Atributos!$G$22:$H$25,2)/5</f>
        <v>0</v>
      </c>
      <c r="W94" s="43">
        <f>+VLOOKUP($A94,S0!$C$2:$Y$89,23)/8 * VLOOKUP($I94,Atributos!$A$28:$B$31,2) * VLOOKUP($J94,Atributos!$G$22:$H$25,2)/5</f>
        <v>0</v>
      </c>
      <c r="X94" s="43">
        <f t="shared" si="22"/>
        <v>0</v>
      </c>
      <c r="Y94" s="87">
        <f t="shared" si="16"/>
        <v>0.25</v>
      </c>
      <c r="Z94" s="87">
        <f t="shared" si="17"/>
        <v>0</v>
      </c>
      <c r="AA94" s="87">
        <f t="shared" si="18"/>
        <v>0</v>
      </c>
      <c r="AB94" s="87">
        <f t="shared" si="19"/>
        <v>0</v>
      </c>
      <c r="AC94" s="87">
        <f t="shared" si="20"/>
        <v>0</v>
      </c>
      <c r="AD94" s="87">
        <f t="shared" si="21"/>
        <v>0.25</v>
      </c>
    </row>
    <row r="95" spans="1:30" ht="300" x14ac:dyDescent="0.25">
      <c r="A95" s="72" t="s">
        <v>592</v>
      </c>
      <c r="B95" s="63" t="str">
        <f>+VLOOKUP(A95,S0!$C$2:$I$89,7)</f>
        <v>SD</v>
      </c>
      <c r="C95" s="117" t="s">
        <v>750</v>
      </c>
      <c r="D95" s="62" t="s">
        <v>751</v>
      </c>
      <c r="E95" s="64" t="str">
        <f>+VLOOKUP(A95,S0!$C$2:$I$89,3)</f>
        <v>Nota de Crédito por Valor
- Solicitud de Nota de crédito 
- Facturación
- Facturación Electrónica
Nota de Crédito por Devolución
- Solicitud de Nota de crédito de devolución
- Devolución de mercadería
- Facturación
- Facturación Electrónica
Nota de Débito:
- Solicitud de Nota de débito
- Facturación
- Facturación Electrónica</v>
      </c>
      <c r="F95" s="64" t="str">
        <f>+VLOOKUP(A95,S0!$C$2:$I$89,4)</f>
        <v>Este proceso da soporte a los eventos que se pueden presentar post-venta tanto a favor del cliente como a favor del proveedor. Dentro de este proceso se pueden atender casos como los siguientes:
- Cuando el cliente hace u n reclamo y este procede, puede devolver la mercadería o dársele crédito a favor.
- Cuando se ha incumplido una condición de la venta y/o se presentó a ajuste sobre el precio.</v>
      </c>
      <c r="G95" s="64" t="str">
        <f>+VLOOKUP(A95,S0!$C$2:$I$89,5)</f>
        <v xml:space="preserve">Nota de Crédito Afecta al IGV
Nota de Crédito Inafecta
Nota de Crédito Afecta al IGV sin referencia
Nota de Crédito de Devolución Parcial Afecta al IGV
Nota de Crédito de Devolución Total Afecta al IGV
Nota de Crédito de Devolución sin referencia Afecta al IGV
Nota de debito Afecta al IGV
</v>
      </c>
      <c r="H95" s="64">
        <f>+VLOOKUP(A95,S0!$C$2:$I$89,6)</f>
        <v>0</v>
      </c>
      <c r="I95" s="46" t="s">
        <v>92</v>
      </c>
      <c r="J95" s="46" t="s">
        <v>88</v>
      </c>
      <c r="K95" s="99" t="s">
        <v>634</v>
      </c>
      <c r="L95" s="77">
        <f>+(VLOOKUP($A95,S0!$C$2:$Y$89,18)/8 * VLOOKUP($I95,Atributos!$A$28:$B$31,2) * VLOOKUP($J95,Atributos!$A$22:$B$25,2))/5</f>
        <v>5.6250000000000001E-2</v>
      </c>
      <c r="M95" s="37">
        <f>+(VLOOKUP($A95,S0!$C$2:$Y$89,19)/8 * VLOOKUP($I95,Atributos!$A$28:$B117,2) * VLOOKUP($J95,Atributos!$A$22:$B111,2))/5</f>
        <v>0.3</v>
      </c>
      <c r="N95" s="43">
        <f>+VLOOKUP($A95,S0!$C$2:$Y$89,20)/8 * VLOOKUP($I95,Atributos!$A$28:$B$31,2) * VLOOKUP($J95,Atributos!$A$22:$B$25,2)/5</f>
        <v>0.9</v>
      </c>
      <c r="O95" s="43">
        <f>+VLOOKUP($A95,S0!$C$2:$Y$89,21)/8 * VLOOKUP($I95,Atributos!$A$28:$B$31,2) * VLOOKUP($J95,Atributos!$A$22:$B$25,2)/5</f>
        <v>1.8</v>
      </c>
      <c r="P95" s="43">
        <f>+VLOOKUP($A95,S0!$C$2:$Y$89,22)/8 * VLOOKUP($I95,Atributos!$A$28:$B$31,2) * VLOOKUP($J95,Atributos!$A$22:$B$25,2)/5</f>
        <v>0.45</v>
      </c>
      <c r="Q95" s="43">
        <f>+VLOOKUP($A95,S0!$C$2:$Y$89,23)/8 * VLOOKUP($I95,Atributos!$A$28:$B$31,2) * VLOOKUP($J95,Atributos!$A$22:$B$25,2)/5</f>
        <v>0.45</v>
      </c>
      <c r="R95" s="43">
        <f t="shared" si="15"/>
        <v>3.45</v>
      </c>
      <c r="S95" s="43">
        <f>+(VLOOKUP($A95,S0!$C$2:$Y$89,19)/8 * VLOOKUP($I95,Atributos!$A$28:$B$31,2) * VLOOKUP($J95,Atributos!$G$22:$H$25,2))/5</f>
        <v>7.4999999999999997E-2</v>
      </c>
      <c r="T95" s="43">
        <f>+VLOOKUP($A95,S0!$C$2:$Y$89,20)/8 * VLOOKUP($I95,Atributos!$A$28:$B$31,2) * VLOOKUP($J95,Atributos!$G$22:$H$25,2)/5</f>
        <v>0.6</v>
      </c>
      <c r="U95" s="43">
        <f>+VLOOKUP($A95,S0!$C$2:$Y$89,21)/8 * VLOOKUP($I95,Atributos!$A$28:$B$31,2) * VLOOKUP($J95,Atributos!$G$22:$H$25,2)/5</f>
        <v>1.2</v>
      </c>
      <c r="V95" s="43">
        <f>+VLOOKUP($A95,S0!$C$2:$Y$89,22)/8 * VLOOKUP($I95,Atributos!$A$28:$B$31,2) * VLOOKUP($J95,Atributos!$G$22:$H$25,2)/5</f>
        <v>0.3</v>
      </c>
      <c r="W95" s="43">
        <f>+VLOOKUP($A95,S0!$C$2:$Y$89,23)/8 * VLOOKUP($I95,Atributos!$A$28:$B$31,2) * VLOOKUP($J95,Atributos!$G$22:$H$25,2)/5</f>
        <v>0.3</v>
      </c>
      <c r="X95" s="43">
        <f t="shared" si="22"/>
        <v>2.1749999999999998</v>
      </c>
      <c r="Y95" s="87">
        <f t="shared" si="16"/>
        <v>0.1875</v>
      </c>
      <c r="Z95" s="87">
        <f t="shared" si="17"/>
        <v>0.75</v>
      </c>
      <c r="AA95" s="87">
        <f t="shared" si="18"/>
        <v>1.5</v>
      </c>
      <c r="AB95" s="87">
        <f t="shared" si="19"/>
        <v>0.375</v>
      </c>
      <c r="AC95" s="87">
        <f t="shared" si="20"/>
        <v>0.375</v>
      </c>
      <c r="AD95" s="87">
        <f t="shared" si="21"/>
        <v>2.8125</v>
      </c>
    </row>
  </sheetData>
  <protectedRanges>
    <protectedRange sqref="I8:K95" name="Rango1"/>
    <protectedRange sqref="B7:D7" name="Rango3"/>
    <protectedRange sqref="K3:K5" name="Rango4"/>
  </protectedRanges>
  <autoFilter ref="A7:I94" xr:uid="{26B8BE8B-AB27-4DFB-8988-F14B6E31ADAE}">
    <sortState xmlns:xlrd2="http://schemas.microsoft.com/office/spreadsheetml/2017/richdata2" ref="A8:I95">
      <sortCondition ref="A7:A94"/>
    </sortState>
  </autoFilter>
  <mergeCells count="2">
    <mergeCell ref="A3:A5"/>
    <mergeCell ref="E3:E5"/>
  </mergeCells>
  <conditionalFormatting sqref="A3:A5">
    <cfRule type="cellIs" dxfId="2" priority="1" operator="lessThan">
      <formula>0.5</formula>
    </cfRule>
    <cfRule type="cellIs" dxfId="1" priority="2" operator="between">
      <formula>0.5</formula>
      <formula>0.8</formula>
    </cfRule>
    <cfRule type="cellIs" dxfId="0" priority="3" operator="greaterThan">
      <formula>0.8</formula>
    </cfRule>
  </conditionalFormatting>
  <hyperlinks>
    <hyperlink ref="C9" r:id="rId1" xr:uid="{94BF0AD8-C3D4-4620-817B-49E8189AFD01}"/>
    <hyperlink ref="C10" r:id="rId2" xr:uid="{5785AE38-C97E-45B3-A98A-2C35E8DFD162}"/>
    <hyperlink ref="C11" r:id="rId3" xr:uid="{29484509-FAB6-442D-A6D4-A5340039F549}"/>
    <hyperlink ref="C12" r:id="rId4" xr:uid="{3C8B9563-26BE-4D78-A371-5FDD33B0B0B4}"/>
    <hyperlink ref="C13" r:id="rId5" xr:uid="{97DFA781-FCB9-4CF9-836F-7BE096F0C651}"/>
    <hyperlink ref="C14" r:id="rId6" xr:uid="{B30D04F8-4C72-4DA9-85DF-1164AD1CCF82}"/>
    <hyperlink ref="C23" r:id="rId7" xr:uid="{96466772-5F65-4BBD-B76F-CB9D2896EC87}"/>
    <hyperlink ref="C24" r:id="rId8" xr:uid="{1530D6D1-FB3A-4842-8FC7-D1BFF2924199}"/>
    <hyperlink ref="C25" r:id="rId9" xr:uid="{884F0FA5-D6FC-4EB8-8347-6EFD95845480}"/>
    <hyperlink ref="C26" r:id="rId10" xr:uid="{5B6C09B6-B5E7-40E4-8FB7-9741034F2B56}"/>
    <hyperlink ref="C27" r:id="rId11" xr:uid="{6D898767-E395-408B-965E-4A2A04B604FF}"/>
    <hyperlink ref="C28" r:id="rId12" xr:uid="{4BC71C4F-C0F9-4FD5-B858-167D1EAD829F}"/>
    <hyperlink ref="C29" r:id="rId13" xr:uid="{E40A127B-1D4F-4CF6-AB65-3017A0897BEB}"/>
    <hyperlink ref="C30" r:id="rId14" xr:uid="{4232463B-C37B-4CDF-9995-37E4A0B405AA}"/>
    <hyperlink ref="C32" r:id="rId15" xr:uid="{F9A11846-0610-46D7-84E4-E259C4CCD34E}"/>
    <hyperlink ref="C33" r:id="rId16" xr:uid="{EFC89B39-5A20-4732-A7C3-9F8D5105946E}"/>
    <hyperlink ref="C34" r:id="rId17" xr:uid="{B5210EA6-4C18-4751-89B1-56CB7FE3D40E}"/>
    <hyperlink ref="C38" r:id="rId18" xr:uid="{9D4730F2-5398-489D-A554-0DD382116788}"/>
    <hyperlink ref="C39" r:id="rId19" xr:uid="{89C8B149-F96B-4163-BD93-C56F6749DBBE}"/>
    <hyperlink ref="C40" r:id="rId20" xr:uid="{C176B11A-F5C0-429D-B875-F05A3A14EC6A}"/>
    <hyperlink ref="C41" r:id="rId21" xr:uid="{B7619ACE-3A8E-4B4A-BCD9-1DEBBF497429}"/>
    <hyperlink ref="C49" r:id="rId22" xr:uid="{BA3B91FA-0F6F-43A3-9198-5CC358D489A2}"/>
    <hyperlink ref="C50" r:id="rId23" xr:uid="{BF4B14CE-D6EB-4DBC-AEC3-85F8CE580B00}"/>
    <hyperlink ref="C76" r:id="rId24" xr:uid="{FD19F533-B620-47BA-9B82-BA8A26EA0668}"/>
    <hyperlink ref="C75" r:id="rId25" xr:uid="{35176811-F990-4575-850E-C7BD7D542C23}"/>
    <hyperlink ref="C73" r:id="rId26" xr:uid="{5553D02D-6E2F-458B-B437-ADFBCB9C5D10}"/>
    <hyperlink ref="C69" r:id="rId27" xr:uid="{8B32EF77-F790-415F-8EE6-44AD0EA81E6F}"/>
    <hyperlink ref="C72" r:id="rId28" xr:uid="{BCD34BC8-198C-4BFC-866A-434D391C5AE3}"/>
    <hyperlink ref="C71" r:id="rId29" xr:uid="{E6FCD79F-87DC-4491-89B4-456F722BF3BD}"/>
    <hyperlink ref="C70" r:id="rId30" xr:uid="{F63571DF-D70E-4527-BDE4-69CEAC91F96C}"/>
    <hyperlink ref="C66" r:id="rId31" xr:uid="{DAB1AD62-D8EF-4CFC-AF43-9E54E818197A}"/>
    <hyperlink ref="C61" r:id="rId32" xr:uid="{266DCF52-D902-49CD-B675-67A2E933D640}"/>
    <hyperlink ref="C55" r:id="rId33" xr:uid="{A50CB020-979F-475D-92FC-C6E67E2AC4AA}"/>
    <hyperlink ref="C85" r:id="rId34" xr:uid="{57B0BE89-B3CB-44E5-A91E-F05B515F7CC7}"/>
    <hyperlink ref="C86" r:id="rId35" xr:uid="{C5D890F6-7DDB-49FB-9FA9-6F4D942F7DBB}"/>
    <hyperlink ref="C89" r:id="rId36" xr:uid="{2450ED4E-4D39-4FA4-9D23-B91766B988B3}"/>
    <hyperlink ref="C90" r:id="rId37" display="1HO" xr:uid="{BA29C6F0-921A-4D49-97BD-9E7F5F3C735F}"/>
    <hyperlink ref="C93" r:id="rId38" xr:uid="{8F814A88-D8C3-4D35-9A36-F55FD47D061A}"/>
    <hyperlink ref="C95" r:id="rId39" xr:uid="{67B2B292-F4FB-4175-823D-4EEDCDD9DB49}"/>
    <hyperlink ref="C91" r:id="rId40" xr:uid="{A27C2D8A-89B8-4141-A6A3-0E4323160C42}"/>
    <hyperlink ref="C94" r:id="rId41" xr:uid="{E7EDF266-32F6-4905-AE55-C8A7E403C351}"/>
  </hyperlinks>
  <pageMargins left="0.7" right="0.7" top="0.75" bottom="0.75" header="0.3" footer="0.3"/>
  <pageSetup orientation="portrait" r:id="rId42"/>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F83B231E-218C-478B-B329-F132EB107BC7}">
          <x14:formula1>
            <xm:f>Atributos!$A$22:$A$25</xm:f>
          </x14:formula1>
          <xm:sqref>J8:J95</xm:sqref>
        </x14:dataValidation>
        <x14:dataValidation type="list" allowBlank="1" showInputMessage="1" showErrorMessage="1" xr:uid="{D1722DB1-CDE8-4970-AD86-1530E8360C41}">
          <x14:formula1>
            <xm:f>Atributos!$A$28:$A$31</xm:f>
          </x14:formula1>
          <xm:sqref>F2:F5 I8:I95</xm:sqref>
        </x14:dataValidation>
        <x14:dataValidation type="list" allowBlank="1" showInputMessage="1" showErrorMessage="1" xr:uid="{D5C3076B-DDE7-4E09-9ADD-5E21F584CF33}">
          <x14:formula1>
            <xm:f>Atributos!$A$34:$A$37</xm:f>
          </x14:formula1>
          <xm:sqref>K3:K4</xm:sqref>
        </x14:dataValidation>
        <x14:dataValidation type="list" allowBlank="1" showInputMessage="1" showErrorMessage="1" xr:uid="{B58D1ED2-51E4-40A5-ABD7-816B85E5232D}">
          <x14:formula1>
            <xm:f>Atributos!$A$39:$A$43</xm:f>
          </x14:formula1>
          <xm:sqref>K5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07014-2032-4A2C-9162-83E5127AFD63}">
  <dimension ref="A1:F10"/>
  <sheetViews>
    <sheetView workbookViewId="0">
      <selection activeCell="C15" sqref="C15"/>
    </sheetView>
  </sheetViews>
  <sheetFormatPr baseColWidth="10" defaultColWidth="9.140625" defaultRowHeight="15" x14ac:dyDescent="0.25"/>
  <cols>
    <col min="1" max="1" width="5.42578125" customWidth="1"/>
    <col min="2" max="3" width="30.28515625" customWidth="1"/>
    <col min="4" max="4" width="12.85546875" customWidth="1"/>
    <col min="5" max="5" width="12.7109375" customWidth="1"/>
    <col min="6" max="6" width="17" customWidth="1"/>
  </cols>
  <sheetData>
    <row r="1" spans="1:6" x14ac:dyDescent="0.25">
      <c r="A1" s="41" t="s">
        <v>635</v>
      </c>
      <c r="B1" s="41" t="s">
        <v>636</v>
      </c>
      <c r="C1" s="41" t="s">
        <v>637</v>
      </c>
      <c r="D1" s="41" t="s">
        <v>23</v>
      </c>
      <c r="E1" s="41" t="s">
        <v>85</v>
      </c>
      <c r="F1" s="41" t="s">
        <v>115</v>
      </c>
    </row>
    <row r="2" spans="1:6" ht="29.25" customHeight="1" x14ac:dyDescent="0.25">
      <c r="A2" s="36">
        <v>1</v>
      </c>
      <c r="B2" s="36"/>
      <c r="C2" s="36"/>
      <c r="D2" s="36"/>
      <c r="E2" s="36"/>
      <c r="F2" s="36"/>
    </row>
    <row r="3" spans="1:6" x14ac:dyDescent="0.25">
      <c r="A3" s="36">
        <v>1</v>
      </c>
      <c r="B3" s="36"/>
      <c r="C3" s="36"/>
      <c r="D3" s="36"/>
      <c r="E3" s="36"/>
      <c r="F3" s="36"/>
    </row>
    <row r="4" spans="1:6" x14ac:dyDescent="0.25">
      <c r="A4" s="36">
        <v>1</v>
      </c>
      <c r="B4" s="36"/>
      <c r="C4" s="36"/>
      <c r="D4" s="36"/>
      <c r="E4" s="36"/>
      <c r="F4" s="36"/>
    </row>
    <row r="10" spans="1:6" x14ac:dyDescent="0.25">
      <c r="C10" t="s">
        <v>638</v>
      </c>
    </row>
  </sheetData>
  <dataValidations count="1">
    <dataValidation type="list" allowBlank="1" showInputMessage="1" showErrorMessage="1" sqref="D2:D4" xr:uid="{86D0954C-C25A-4239-8ECA-6965512EBEB9}">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B77CF605-74CB-46DD-BA34-F5073B678D46}">
          <x14:formula1>
            <xm:f>Atributos!$A$55:$A$59</xm:f>
          </x14:formula1>
          <xm:sqref>F2:F4</xm:sqref>
        </x14:dataValidation>
        <x14:dataValidation type="list" allowBlank="1" showInputMessage="1" showErrorMessage="1" xr:uid="{2B09436A-655F-41B4-9039-85412F791B50}">
          <x14:formula1>
            <xm:f>Evaluar!$A$8:$A$95</xm:f>
          </x14:formula1>
          <xm:sqref>C2:C4</xm:sqref>
        </x14:dataValidation>
        <x14:dataValidation type="list" allowBlank="1" showInputMessage="1" showErrorMessage="1" xr:uid="{0398DFBC-2989-4ABE-9597-4BB31A53D5EA}">
          <x14:formula1>
            <xm:f>Atributos!$A$62:$A$66</xm:f>
          </x14:formula1>
          <xm:sqref>E2:E4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24B32-60AC-48A9-B993-BA05D3269CD7}">
  <dimension ref="A2:G43"/>
  <sheetViews>
    <sheetView workbookViewId="0">
      <selection activeCell="L11" sqref="L11"/>
    </sheetView>
  </sheetViews>
  <sheetFormatPr baseColWidth="10" defaultColWidth="11.42578125" defaultRowHeight="15" x14ac:dyDescent="0.25"/>
  <cols>
    <col min="1" max="1" width="12.85546875" bestFit="1" customWidth="1"/>
    <col min="2" max="2" width="16" bestFit="1" customWidth="1"/>
    <col min="3" max="3" width="15.5703125" bestFit="1" customWidth="1"/>
    <col min="4" max="4" width="15.42578125" bestFit="1" customWidth="1"/>
    <col min="5" max="5" width="5.5703125" bestFit="1" customWidth="1"/>
    <col min="6" max="6" width="8.7109375" bestFit="1" customWidth="1"/>
  </cols>
  <sheetData>
    <row r="2" spans="1:7" x14ac:dyDescent="0.25">
      <c r="A2" s="106" t="s">
        <v>639</v>
      </c>
    </row>
    <row r="3" spans="1:7" x14ac:dyDescent="0.25">
      <c r="A3" s="27" t="s">
        <v>604</v>
      </c>
      <c r="B3" t="s">
        <v>640</v>
      </c>
      <c r="C3" t="s">
        <v>641</v>
      </c>
      <c r="D3" s="35" t="s">
        <v>642</v>
      </c>
      <c r="E3" s="35" t="s">
        <v>643</v>
      </c>
      <c r="F3" s="35" t="s">
        <v>644</v>
      </c>
      <c r="G3" s="35" t="s">
        <v>645</v>
      </c>
    </row>
    <row r="4" spans="1:7" x14ac:dyDescent="0.25">
      <c r="A4" s="82" t="s">
        <v>66</v>
      </c>
      <c r="B4" s="29">
        <v>5.85</v>
      </c>
      <c r="C4" s="29">
        <v>11.399999999999999</v>
      </c>
      <c r="D4" s="84">
        <f>IF( C4 &gt; 0, Evaluar!$L$2,0)</f>
        <v>4</v>
      </c>
      <c r="E4" s="84">
        <f>IF(C4 &gt; 0, SUM(B4:D4)+2,0)</f>
        <v>23.25</v>
      </c>
      <c r="F4" s="85">
        <f>E4/$E$13</f>
        <v>0.9064327485380117</v>
      </c>
      <c r="G4" s="85">
        <f>+IF(F4 &lt;= 0.5,IF(F4 &gt; 0, 0.5,0),1)</f>
        <v>1</v>
      </c>
    </row>
    <row r="5" spans="1:7" x14ac:dyDescent="0.25">
      <c r="A5" s="82" t="s">
        <v>71</v>
      </c>
      <c r="B5" s="29">
        <v>0</v>
      </c>
      <c r="C5" s="29">
        <v>0</v>
      </c>
      <c r="D5" s="84">
        <f>IF( C5 &gt; 0, Evaluar!$L$2,0)</f>
        <v>0</v>
      </c>
      <c r="E5" s="84">
        <f t="shared" ref="E5:E12" si="0">IF(C5 &gt; 0, SUM(B5:D5)+2,0)</f>
        <v>0</v>
      </c>
      <c r="F5" s="85">
        <f t="shared" ref="F5:F12" si="1">E5/$E$13</f>
        <v>0</v>
      </c>
      <c r="G5" s="85">
        <f t="shared" ref="G5:G12" si="2">+IF(F5 &lt;= 0.5,IF(F5 &gt; 0, 0.5,0),1)</f>
        <v>0</v>
      </c>
    </row>
    <row r="6" spans="1:7" x14ac:dyDescent="0.25">
      <c r="A6" s="82" t="s">
        <v>62</v>
      </c>
      <c r="B6" s="29">
        <v>6.9749999999999996</v>
      </c>
      <c r="C6" s="29">
        <v>12.524999999999999</v>
      </c>
      <c r="D6" s="84">
        <f>IF( C6 &gt; 0, Evaluar!$L$2,0)</f>
        <v>4</v>
      </c>
      <c r="E6" s="84">
        <f t="shared" si="0"/>
        <v>25.5</v>
      </c>
      <c r="F6" s="85">
        <f t="shared" si="1"/>
        <v>0.99415204678362579</v>
      </c>
      <c r="G6" s="85">
        <f t="shared" si="2"/>
        <v>1</v>
      </c>
    </row>
    <row r="7" spans="1:7" x14ac:dyDescent="0.25">
      <c r="A7" s="82" t="s">
        <v>69</v>
      </c>
      <c r="B7" s="29">
        <v>6.8249999999999993</v>
      </c>
      <c r="C7" s="29">
        <v>12.824999999999999</v>
      </c>
      <c r="D7" s="84">
        <f>IF( C7 &gt; 0, Evaluar!$L$2,0)</f>
        <v>4</v>
      </c>
      <c r="E7" s="84">
        <f t="shared" si="0"/>
        <v>25.65</v>
      </c>
      <c r="F7" s="85">
        <f t="shared" si="1"/>
        <v>1</v>
      </c>
      <c r="G7" s="85">
        <f t="shared" si="2"/>
        <v>1</v>
      </c>
    </row>
    <row r="8" spans="1:7" x14ac:dyDescent="0.25">
      <c r="A8" s="82" t="s">
        <v>59</v>
      </c>
      <c r="B8" s="29">
        <v>0</v>
      </c>
      <c r="C8" s="29">
        <v>0</v>
      </c>
      <c r="D8" s="84">
        <f>IF( C8 &gt; 0, Evaluar!$L$2,0)</f>
        <v>0</v>
      </c>
      <c r="E8" s="84">
        <f t="shared" si="0"/>
        <v>0</v>
      </c>
      <c r="F8" s="85">
        <f t="shared" si="1"/>
        <v>0</v>
      </c>
      <c r="G8" s="85">
        <f t="shared" si="2"/>
        <v>0</v>
      </c>
    </row>
    <row r="9" spans="1:7" x14ac:dyDescent="0.25">
      <c r="A9" s="82" t="s">
        <v>45</v>
      </c>
      <c r="B9" s="29">
        <v>6.2999999999999989</v>
      </c>
      <c r="C9" s="29">
        <v>12.299999999999999</v>
      </c>
      <c r="D9" s="84">
        <f>IF( C9 &gt; 0, Evaluar!$L$2,0)</f>
        <v>4</v>
      </c>
      <c r="E9" s="84">
        <f t="shared" si="0"/>
        <v>24.599999999999998</v>
      </c>
      <c r="F9" s="85">
        <f t="shared" si="1"/>
        <v>0.95906432748538006</v>
      </c>
      <c r="G9" s="85">
        <f t="shared" si="2"/>
        <v>1</v>
      </c>
    </row>
    <row r="10" spans="1:7" x14ac:dyDescent="0.25">
      <c r="A10" s="82" t="s">
        <v>76</v>
      </c>
      <c r="B10" s="29">
        <v>3.4499999999999997</v>
      </c>
      <c r="C10" s="29">
        <v>6.8999999999999995</v>
      </c>
      <c r="D10" s="84">
        <f>IF( C10 &gt; 0, Evaluar!$L$2,0)</f>
        <v>4</v>
      </c>
      <c r="E10" s="84">
        <f t="shared" si="0"/>
        <v>16.350000000000001</v>
      </c>
      <c r="F10" s="85">
        <f t="shared" si="1"/>
        <v>0.63742690058479545</v>
      </c>
      <c r="G10" s="85">
        <f t="shared" si="2"/>
        <v>1</v>
      </c>
    </row>
    <row r="11" spans="1:7" x14ac:dyDescent="0.25">
      <c r="A11" s="82" t="s">
        <v>53</v>
      </c>
      <c r="B11" s="29">
        <v>0</v>
      </c>
      <c r="C11" s="29">
        <v>0</v>
      </c>
      <c r="D11" s="84">
        <f>IF( C11 &gt; 0, Evaluar!$L$2,0)</f>
        <v>0</v>
      </c>
      <c r="E11" s="84">
        <f t="shared" si="0"/>
        <v>0</v>
      </c>
      <c r="F11" s="85">
        <f t="shared" si="1"/>
        <v>0</v>
      </c>
      <c r="G11" s="85">
        <f t="shared" si="2"/>
        <v>0</v>
      </c>
    </row>
    <row r="12" spans="1:7" x14ac:dyDescent="0.25">
      <c r="A12" s="82" t="s">
        <v>78</v>
      </c>
      <c r="B12" s="29">
        <v>5.1000000000000005</v>
      </c>
      <c r="C12" s="29">
        <v>9.4500000000000011</v>
      </c>
      <c r="D12" s="84">
        <f>IF( C12 &gt; 0, Evaluar!$L$2,0)</f>
        <v>4</v>
      </c>
      <c r="E12" s="84">
        <f t="shared" si="0"/>
        <v>20.55</v>
      </c>
      <c r="F12" s="85">
        <f t="shared" si="1"/>
        <v>0.80116959064327498</v>
      </c>
      <c r="G12" s="85">
        <f t="shared" si="2"/>
        <v>1</v>
      </c>
    </row>
    <row r="13" spans="1:7" x14ac:dyDescent="0.25">
      <c r="A13" s="82" t="s">
        <v>646</v>
      </c>
      <c r="B13" s="29">
        <v>34.499999999999993</v>
      </c>
      <c r="C13" s="29">
        <v>65.399999999999991</v>
      </c>
      <c r="D13" s="86">
        <f>SUM(D4:D12)</f>
        <v>24</v>
      </c>
      <c r="E13" s="86">
        <f>MAX(E4:E12)</f>
        <v>25.65</v>
      </c>
      <c r="F13" s="86">
        <f>E13/$E$28</f>
        <v>1.3429319371727746</v>
      </c>
      <c r="G13" s="86"/>
    </row>
    <row r="14" spans="1:7" x14ac:dyDescent="0.25">
      <c r="B14" s="105">
        <f>+MAX(B4:B12)</f>
        <v>6.9749999999999996</v>
      </c>
      <c r="C14" s="105">
        <f t="shared" ref="C14:E14" si="3">+MAX(C4:C12)</f>
        <v>12.824999999999999</v>
      </c>
      <c r="D14" s="105">
        <f t="shared" si="3"/>
        <v>4</v>
      </c>
      <c r="E14" s="105">
        <f t="shared" si="3"/>
        <v>25.65</v>
      </c>
    </row>
    <row r="16" spans="1:7" ht="15.75" thickBot="1" x14ac:dyDescent="0.3"/>
    <row r="17" spans="1:7" x14ac:dyDescent="0.25">
      <c r="A17" s="106" t="s">
        <v>647</v>
      </c>
      <c r="B17">
        <f>52.9*5</f>
        <v>264.5</v>
      </c>
    </row>
    <row r="18" spans="1:7" x14ac:dyDescent="0.25">
      <c r="A18" s="27" t="s">
        <v>648</v>
      </c>
      <c r="B18" t="s">
        <v>649</v>
      </c>
      <c r="C18" t="s">
        <v>650</v>
      </c>
      <c r="D18" s="35" t="s">
        <v>651</v>
      </c>
      <c r="E18" s="35" t="s">
        <v>643</v>
      </c>
      <c r="F18" s="35" t="s">
        <v>644</v>
      </c>
      <c r="G18" s="35" t="s">
        <v>645</v>
      </c>
    </row>
    <row r="19" spans="1:7" x14ac:dyDescent="0.25">
      <c r="A19" s="82" t="s">
        <v>66</v>
      </c>
      <c r="B19">
        <v>3.9000000000000004</v>
      </c>
      <c r="C19">
        <v>7.6</v>
      </c>
      <c r="D19" s="84">
        <f>IF( C19 &gt; 0, Evaluar!$L$2,0)</f>
        <v>4</v>
      </c>
      <c r="E19" s="84">
        <f>IF(C19 &gt; 0, SUM(B19:D19)+2,0)</f>
        <v>17.5</v>
      </c>
      <c r="F19" s="85">
        <f>E19/$E$29</f>
        <v>0.91623036649214651</v>
      </c>
      <c r="G19" s="85">
        <f>+IF(F19 &lt;= 0.5,IF(F19 &gt; 0, 0.5,0),1)</f>
        <v>1</v>
      </c>
    </row>
    <row r="20" spans="1:7" x14ac:dyDescent="0.25">
      <c r="A20" s="82" t="s">
        <v>71</v>
      </c>
      <c r="B20">
        <v>0</v>
      </c>
      <c r="C20">
        <v>0</v>
      </c>
      <c r="D20" s="84">
        <f>IF( C20 &gt; 0, Evaluar!$L$2,0)</f>
        <v>0</v>
      </c>
      <c r="E20" s="84">
        <f t="shared" ref="E20:E27" si="4">IF(C20 &gt; 0, SUM(B20:D20)+2,0)</f>
        <v>0</v>
      </c>
      <c r="F20" s="85">
        <f t="shared" ref="F20:F27" si="5">E20/$E$29</f>
        <v>0</v>
      </c>
      <c r="G20" s="85">
        <f t="shared" ref="G20:G27" si="6">+IF(F20 &lt;= 0.5,IF(F20 &gt; 0, 0.5,0),1)</f>
        <v>0</v>
      </c>
    </row>
    <row r="21" spans="1:7" x14ac:dyDescent="0.25">
      <c r="A21" s="82" t="s">
        <v>62</v>
      </c>
      <c r="B21">
        <v>4.6500000000000004</v>
      </c>
      <c r="C21">
        <v>8.35</v>
      </c>
      <c r="D21" s="84">
        <f>IF( C21 &gt; 0, Evaluar!$L$2,0)</f>
        <v>4</v>
      </c>
      <c r="E21" s="84">
        <f t="shared" si="4"/>
        <v>19</v>
      </c>
      <c r="F21" s="85">
        <f t="shared" si="5"/>
        <v>0.9947643979057591</v>
      </c>
      <c r="G21" s="85">
        <f t="shared" si="6"/>
        <v>1</v>
      </c>
    </row>
    <row r="22" spans="1:7" x14ac:dyDescent="0.25">
      <c r="A22" s="82" t="s">
        <v>69</v>
      </c>
      <c r="B22">
        <v>4.5500000000000007</v>
      </c>
      <c r="C22">
        <v>8.5500000000000007</v>
      </c>
      <c r="D22" s="84">
        <f>IF( C22 &gt; 0, Evaluar!$L$2,0)</f>
        <v>4</v>
      </c>
      <c r="E22" s="84">
        <f t="shared" si="4"/>
        <v>19.100000000000001</v>
      </c>
      <c r="F22" s="85">
        <f t="shared" si="5"/>
        <v>1</v>
      </c>
      <c r="G22" s="85">
        <f t="shared" si="6"/>
        <v>1</v>
      </c>
    </row>
    <row r="23" spans="1:7" x14ac:dyDescent="0.25">
      <c r="A23" s="82" t="s">
        <v>59</v>
      </c>
      <c r="B23">
        <v>0</v>
      </c>
      <c r="C23">
        <v>0</v>
      </c>
      <c r="D23" s="84">
        <f>IF( C23 &gt; 0, Evaluar!$L$2,0)</f>
        <v>0</v>
      </c>
      <c r="E23" s="84">
        <f t="shared" si="4"/>
        <v>0</v>
      </c>
      <c r="F23" s="85">
        <f t="shared" si="5"/>
        <v>0</v>
      </c>
      <c r="G23" s="85">
        <f t="shared" si="6"/>
        <v>0</v>
      </c>
    </row>
    <row r="24" spans="1:7" x14ac:dyDescent="0.25">
      <c r="A24" s="82" t="s">
        <v>45</v>
      </c>
      <c r="B24">
        <v>4.2</v>
      </c>
      <c r="C24">
        <v>8.1999999999999993</v>
      </c>
      <c r="D24" s="84">
        <f>IF( C24 &gt; 0, Evaluar!$L$2,0)</f>
        <v>4</v>
      </c>
      <c r="E24" s="84">
        <f t="shared" si="4"/>
        <v>18.399999999999999</v>
      </c>
      <c r="F24" s="85">
        <f t="shared" si="5"/>
        <v>0.96335078534031404</v>
      </c>
      <c r="G24" s="85">
        <f t="shared" si="6"/>
        <v>1</v>
      </c>
    </row>
    <row r="25" spans="1:7" x14ac:dyDescent="0.25">
      <c r="A25" s="82" t="s">
        <v>76</v>
      </c>
      <c r="B25">
        <v>2.3000000000000003</v>
      </c>
      <c r="C25">
        <v>4.6000000000000005</v>
      </c>
      <c r="D25" s="84">
        <f>IF( C25 &gt; 0, Evaluar!$L$2,0)</f>
        <v>4</v>
      </c>
      <c r="E25" s="84">
        <f t="shared" si="4"/>
        <v>12.9</v>
      </c>
      <c r="F25" s="85">
        <f t="shared" si="5"/>
        <v>0.67539267015706805</v>
      </c>
      <c r="G25" s="85">
        <f t="shared" si="6"/>
        <v>1</v>
      </c>
    </row>
    <row r="26" spans="1:7" x14ac:dyDescent="0.25">
      <c r="A26" s="82" t="s">
        <v>53</v>
      </c>
      <c r="B26">
        <v>0</v>
      </c>
      <c r="C26">
        <v>0</v>
      </c>
      <c r="D26" s="84">
        <f>IF( C26 &gt; 0, Evaluar!$L$2,0)</f>
        <v>0</v>
      </c>
      <c r="E26" s="84">
        <f t="shared" si="4"/>
        <v>0</v>
      </c>
      <c r="F26" s="85">
        <f t="shared" si="5"/>
        <v>0</v>
      </c>
      <c r="G26" s="85">
        <f t="shared" si="6"/>
        <v>0</v>
      </c>
    </row>
    <row r="27" spans="1:7" x14ac:dyDescent="0.25">
      <c r="A27" s="82" t="s">
        <v>78</v>
      </c>
      <c r="B27">
        <v>3.4</v>
      </c>
      <c r="C27">
        <v>6.3</v>
      </c>
      <c r="D27" s="84">
        <f>IF( C27 &gt; 0, Evaluar!$L$2,0)</f>
        <v>4</v>
      </c>
      <c r="E27" s="84">
        <f t="shared" si="4"/>
        <v>15.7</v>
      </c>
      <c r="F27" s="85">
        <f t="shared" si="5"/>
        <v>0.82198952879581144</v>
      </c>
      <c r="G27" s="85">
        <f t="shared" si="6"/>
        <v>1</v>
      </c>
    </row>
    <row r="28" spans="1:7" x14ac:dyDescent="0.25">
      <c r="A28" s="82" t="s">
        <v>646</v>
      </c>
      <c r="B28">
        <v>23</v>
      </c>
      <c r="C28">
        <v>43.6</v>
      </c>
      <c r="D28" s="86">
        <f>SUM(D19:D27)</f>
        <v>24</v>
      </c>
      <c r="E28" s="86">
        <f>MAX(E19:E27)</f>
        <v>19.100000000000001</v>
      </c>
      <c r="F28" s="86">
        <f>E28/$E$28</f>
        <v>1</v>
      </c>
      <c r="G28" s="86"/>
    </row>
    <row r="29" spans="1:7" x14ac:dyDescent="0.25">
      <c r="B29" s="105">
        <f>+MAX(B19:B27)</f>
        <v>4.6500000000000004</v>
      </c>
      <c r="C29" s="105">
        <f t="shared" ref="C29:E29" si="7">+MAX(C19:C27)</f>
        <v>8.5500000000000007</v>
      </c>
      <c r="D29" s="105">
        <f t="shared" si="7"/>
        <v>4</v>
      </c>
      <c r="E29" s="105">
        <f t="shared" si="7"/>
        <v>19.100000000000001</v>
      </c>
    </row>
    <row r="30" spans="1:7" ht="15.75" thickBot="1" x14ac:dyDescent="0.3"/>
    <row r="31" spans="1:7" x14ac:dyDescent="0.25">
      <c r="A31" s="107" t="s">
        <v>652</v>
      </c>
    </row>
    <row r="32" spans="1:7" x14ac:dyDescent="0.25">
      <c r="A32" s="27" t="s">
        <v>648</v>
      </c>
      <c r="B32" t="s">
        <v>653</v>
      </c>
      <c r="C32" t="s">
        <v>654</v>
      </c>
      <c r="D32" s="35" t="s">
        <v>655</v>
      </c>
      <c r="E32" s="35" t="s">
        <v>643</v>
      </c>
      <c r="F32" s="35" t="s">
        <v>644</v>
      </c>
      <c r="G32" s="35" t="s">
        <v>645</v>
      </c>
    </row>
    <row r="33" spans="1:7" x14ac:dyDescent="0.25">
      <c r="A33" s="82" t="s">
        <v>66</v>
      </c>
      <c r="B33" s="29">
        <v>4.875</v>
      </c>
      <c r="C33" s="29">
        <v>9.5</v>
      </c>
      <c r="D33" s="84">
        <f>IF( C33 &gt; 0, Evaluar!$L$2,0)</f>
        <v>4</v>
      </c>
      <c r="E33" s="84">
        <f>IF(C33 &gt; 0, SUM(B33:D33)+2,0)</f>
        <v>20.375</v>
      </c>
      <c r="F33" s="85">
        <f>E33/$E$42</f>
        <v>0.91061452513966479</v>
      </c>
      <c r="G33" s="85">
        <f>+IF(F33 &lt;= 0.5,IF(F33 &gt; 0, 0.5,0),1)</f>
        <v>1</v>
      </c>
    </row>
    <row r="34" spans="1:7" x14ac:dyDescent="0.25">
      <c r="A34" s="82" t="s">
        <v>71</v>
      </c>
      <c r="B34" s="29">
        <v>0</v>
      </c>
      <c r="C34" s="29">
        <v>0</v>
      </c>
      <c r="D34" s="84">
        <f>IF( C34 &gt; 0, Evaluar!$L$2,0)</f>
        <v>0</v>
      </c>
      <c r="E34" s="84">
        <f t="shared" ref="E34:E41" si="8">IF(C34 &gt; 0, SUM(B34:D34)+2,0)</f>
        <v>0</v>
      </c>
      <c r="F34" s="85">
        <f t="shared" ref="F34:F41" si="9">E34/$E$42</f>
        <v>0</v>
      </c>
      <c r="G34" s="85">
        <f t="shared" ref="G34:G41" si="10">+IF(F34 &lt;= 0.5,IF(F34 &gt; 0, 0.5,0),1)</f>
        <v>0</v>
      </c>
    </row>
    <row r="35" spans="1:7" x14ac:dyDescent="0.25">
      <c r="A35" s="82" t="s">
        <v>62</v>
      </c>
      <c r="B35" s="29">
        <v>5.8125</v>
      </c>
      <c r="C35" s="29">
        <v>10.4375</v>
      </c>
      <c r="D35" s="84">
        <f>IF( C35 &gt; 0, Evaluar!$L$2,0)</f>
        <v>4</v>
      </c>
      <c r="E35" s="84">
        <f t="shared" si="8"/>
        <v>22.25</v>
      </c>
      <c r="F35" s="85">
        <f t="shared" si="9"/>
        <v>0.994413407821229</v>
      </c>
      <c r="G35" s="85">
        <f t="shared" si="10"/>
        <v>1</v>
      </c>
    </row>
    <row r="36" spans="1:7" x14ac:dyDescent="0.25">
      <c r="A36" s="82" t="s">
        <v>69</v>
      </c>
      <c r="B36" s="29">
        <v>5.6875</v>
      </c>
      <c r="C36" s="29">
        <v>10.6875</v>
      </c>
      <c r="D36" s="84">
        <f>IF( C36 &gt; 0, Evaluar!$L$2,0)</f>
        <v>4</v>
      </c>
      <c r="E36" s="84">
        <f t="shared" si="8"/>
        <v>22.375</v>
      </c>
      <c r="F36" s="85">
        <f t="shared" si="9"/>
        <v>1</v>
      </c>
      <c r="G36" s="85">
        <f t="shared" si="10"/>
        <v>1</v>
      </c>
    </row>
    <row r="37" spans="1:7" x14ac:dyDescent="0.25">
      <c r="A37" s="82" t="s">
        <v>59</v>
      </c>
      <c r="B37" s="29">
        <v>0</v>
      </c>
      <c r="C37" s="29">
        <v>0</v>
      </c>
      <c r="D37" s="84">
        <f>IF( C37 &gt; 0, Evaluar!$L$2,0)</f>
        <v>0</v>
      </c>
      <c r="E37" s="84">
        <f t="shared" si="8"/>
        <v>0</v>
      </c>
      <c r="F37" s="85">
        <f t="shared" si="9"/>
        <v>0</v>
      </c>
      <c r="G37" s="85">
        <f t="shared" si="10"/>
        <v>0</v>
      </c>
    </row>
    <row r="38" spans="1:7" x14ac:dyDescent="0.25">
      <c r="A38" s="82" t="s">
        <v>45</v>
      </c>
      <c r="B38" s="29">
        <v>5.25</v>
      </c>
      <c r="C38" s="29">
        <v>10.25</v>
      </c>
      <c r="D38" s="84">
        <f>IF( C38 &gt; 0, Evaluar!$L$2,0)</f>
        <v>4</v>
      </c>
      <c r="E38" s="84">
        <f t="shared" si="8"/>
        <v>21.5</v>
      </c>
      <c r="F38" s="85">
        <f t="shared" si="9"/>
        <v>0.96089385474860334</v>
      </c>
      <c r="G38" s="85">
        <f t="shared" si="10"/>
        <v>1</v>
      </c>
    </row>
    <row r="39" spans="1:7" x14ac:dyDescent="0.25">
      <c r="A39" s="82" t="s">
        <v>76</v>
      </c>
      <c r="B39" s="29">
        <v>2.875</v>
      </c>
      <c r="C39" s="29">
        <v>5.75</v>
      </c>
      <c r="D39" s="84">
        <f>IF( C39 &gt; 0, Evaluar!$L$2,0)</f>
        <v>4</v>
      </c>
      <c r="E39" s="84">
        <f t="shared" si="8"/>
        <v>14.625</v>
      </c>
      <c r="F39" s="85">
        <f t="shared" si="9"/>
        <v>0.65363128491620115</v>
      </c>
      <c r="G39" s="85">
        <f t="shared" si="10"/>
        <v>1</v>
      </c>
    </row>
    <row r="40" spans="1:7" x14ac:dyDescent="0.25">
      <c r="A40" s="82" t="s">
        <v>53</v>
      </c>
      <c r="B40" s="29">
        <v>0</v>
      </c>
      <c r="C40" s="29">
        <v>0</v>
      </c>
      <c r="D40" s="84">
        <f>IF( C40 &gt; 0, Evaluar!$L$2,0)</f>
        <v>0</v>
      </c>
      <c r="E40" s="84">
        <f t="shared" si="8"/>
        <v>0</v>
      </c>
      <c r="F40" s="85">
        <f t="shared" si="9"/>
        <v>0</v>
      </c>
      <c r="G40" s="85">
        <f t="shared" si="10"/>
        <v>0</v>
      </c>
    </row>
    <row r="41" spans="1:7" x14ac:dyDescent="0.25">
      <c r="A41" s="82" t="s">
        <v>78</v>
      </c>
      <c r="B41" s="29">
        <v>4.25</v>
      </c>
      <c r="C41" s="29">
        <v>7.875</v>
      </c>
      <c r="D41" s="84">
        <f>IF( C41 &gt; 0, Evaluar!$L$2,0)</f>
        <v>4</v>
      </c>
      <c r="E41" s="84">
        <f t="shared" si="8"/>
        <v>18.125</v>
      </c>
      <c r="F41" s="85">
        <f t="shared" si="9"/>
        <v>0.81005586592178769</v>
      </c>
      <c r="G41" s="85">
        <f t="shared" si="10"/>
        <v>1</v>
      </c>
    </row>
    <row r="42" spans="1:7" x14ac:dyDescent="0.25">
      <c r="A42" s="82" t="s">
        <v>646</v>
      </c>
      <c r="B42" s="100">
        <v>28.75</v>
      </c>
      <c r="C42" s="100">
        <v>54.5</v>
      </c>
      <c r="D42" s="86">
        <f>SUM(D33:D41)</f>
        <v>24</v>
      </c>
      <c r="E42" s="86">
        <f>MAX(E33:E41)</f>
        <v>22.375</v>
      </c>
      <c r="F42" s="86">
        <f>E42/$E$28</f>
        <v>1.1714659685863873</v>
      </c>
      <c r="G42" s="86"/>
    </row>
    <row r="43" spans="1:7" x14ac:dyDescent="0.25">
      <c r="B43" s="105">
        <f>+MAX(B33:B41)</f>
        <v>5.8125</v>
      </c>
      <c r="C43" s="105">
        <f t="shared" ref="C43:E43" si="11">+MAX(C33:C41)</f>
        <v>10.6875</v>
      </c>
      <c r="D43" s="105">
        <f t="shared" si="11"/>
        <v>4</v>
      </c>
      <c r="E43" s="105">
        <f t="shared" si="11"/>
        <v>22.375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D63A-9003-4993-A3AD-C935A98A36D4}">
  <dimension ref="A1:H61"/>
  <sheetViews>
    <sheetView workbookViewId="0">
      <selection activeCell="B5" sqref="B5"/>
    </sheetView>
  </sheetViews>
  <sheetFormatPr baseColWidth="10" defaultColWidth="9.140625" defaultRowHeight="15" x14ac:dyDescent="0.25"/>
  <cols>
    <col min="1" max="1" width="12.85546875" bestFit="1" customWidth="1"/>
    <col min="2" max="2" width="66.42578125" bestFit="1" customWidth="1"/>
    <col min="3" max="3" width="20.5703125" bestFit="1" customWidth="1"/>
    <col min="4" max="4" width="20.28515625" bestFit="1" customWidth="1"/>
    <col min="5" max="5" width="22.5703125" bestFit="1" customWidth="1"/>
    <col min="6" max="6" width="22.140625" bestFit="1" customWidth="1"/>
    <col min="7" max="7" width="16.140625" bestFit="1" customWidth="1"/>
    <col min="8" max="8" width="15.7109375" bestFit="1" customWidth="1"/>
    <col min="9" max="9" width="3.5703125" bestFit="1" customWidth="1"/>
    <col min="10" max="10" width="12.85546875" bestFit="1" customWidth="1"/>
  </cols>
  <sheetData>
    <row r="1" spans="1:8" x14ac:dyDescent="0.25">
      <c r="A1" s="27" t="s">
        <v>91</v>
      </c>
      <c r="B1" t="s">
        <v>656</v>
      </c>
    </row>
    <row r="3" spans="1:8" x14ac:dyDescent="0.25">
      <c r="A3" s="27" t="s">
        <v>604</v>
      </c>
      <c r="B3" s="27" t="s">
        <v>128</v>
      </c>
      <c r="C3" t="s">
        <v>649</v>
      </c>
      <c r="D3" t="s">
        <v>650</v>
      </c>
      <c r="E3" t="s">
        <v>657</v>
      </c>
      <c r="F3" t="s">
        <v>658</v>
      </c>
      <c r="G3" t="s">
        <v>659</v>
      </c>
      <c r="H3" t="s">
        <v>660</v>
      </c>
    </row>
    <row r="4" spans="1:8" x14ac:dyDescent="0.25">
      <c r="A4" t="s">
        <v>66</v>
      </c>
      <c r="B4" t="s">
        <v>147</v>
      </c>
      <c r="C4">
        <v>0.1</v>
      </c>
      <c r="D4">
        <v>0.1</v>
      </c>
      <c r="E4">
        <v>0.125</v>
      </c>
      <c r="F4">
        <v>0.125</v>
      </c>
      <c r="G4">
        <v>0.15</v>
      </c>
      <c r="H4">
        <v>0.15</v>
      </c>
    </row>
    <row r="5" spans="1:8" x14ac:dyDescent="0.25">
      <c r="B5" t="s">
        <v>153</v>
      </c>
      <c r="C5">
        <v>0.3</v>
      </c>
      <c r="D5">
        <v>0.3</v>
      </c>
      <c r="E5">
        <v>0.375</v>
      </c>
      <c r="F5">
        <v>0.375</v>
      </c>
      <c r="G5">
        <v>0.45</v>
      </c>
      <c r="H5">
        <v>0.45</v>
      </c>
    </row>
    <row r="6" spans="1:8" x14ac:dyDescent="0.25">
      <c r="B6" t="s">
        <v>161</v>
      </c>
      <c r="C6">
        <v>0.4</v>
      </c>
      <c r="D6">
        <v>0.8</v>
      </c>
      <c r="E6">
        <v>0.5</v>
      </c>
      <c r="F6">
        <v>1</v>
      </c>
      <c r="G6">
        <v>0.6</v>
      </c>
      <c r="H6">
        <v>1.2</v>
      </c>
    </row>
    <row r="7" spans="1:8" x14ac:dyDescent="0.25">
      <c r="B7" t="s">
        <v>168</v>
      </c>
      <c r="C7">
        <v>0.6</v>
      </c>
      <c r="D7">
        <v>1.2</v>
      </c>
      <c r="E7">
        <v>0.75</v>
      </c>
      <c r="F7">
        <v>1.5</v>
      </c>
      <c r="G7">
        <v>0.9</v>
      </c>
      <c r="H7">
        <v>1.8</v>
      </c>
    </row>
    <row r="8" spans="1:8" x14ac:dyDescent="0.25">
      <c r="B8" t="s">
        <v>174</v>
      </c>
      <c r="C8">
        <v>0.4</v>
      </c>
      <c r="D8">
        <v>0.8</v>
      </c>
      <c r="E8">
        <v>0.5</v>
      </c>
      <c r="F8">
        <v>1</v>
      </c>
      <c r="G8">
        <v>0.6</v>
      </c>
      <c r="H8">
        <v>1.2</v>
      </c>
    </row>
    <row r="9" spans="1:8" x14ac:dyDescent="0.25">
      <c r="B9" t="s">
        <v>181</v>
      </c>
      <c r="C9">
        <v>0.1</v>
      </c>
      <c r="D9">
        <v>0.4</v>
      </c>
      <c r="E9">
        <v>0.125</v>
      </c>
      <c r="F9">
        <v>0.5</v>
      </c>
      <c r="G9">
        <v>0.15</v>
      </c>
      <c r="H9">
        <v>0.6</v>
      </c>
    </row>
    <row r="10" spans="1:8" x14ac:dyDescent="0.25">
      <c r="B10" t="s">
        <v>187</v>
      </c>
      <c r="C10">
        <v>0.8</v>
      </c>
      <c r="D10">
        <v>1.6</v>
      </c>
      <c r="E10">
        <v>1</v>
      </c>
      <c r="F10">
        <v>2</v>
      </c>
      <c r="G10">
        <v>1.2</v>
      </c>
      <c r="H10">
        <v>2.4</v>
      </c>
    </row>
    <row r="11" spans="1:8" x14ac:dyDescent="0.25">
      <c r="B11" t="s">
        <v>191</v>
      </c>
      <c r="C11">
        <v>1.2</v>
      </c>
      <c r="D11">
        <v>2.4</v>
      </c>
      <c r="E11">
        <v>1.5</v>
      </c>
      <c r="F11">
        <v>3</v>
      </c>
      <c r="G11">
        <v>1.8</v>
      </c>
      <c r="H11">
        <v>3.6</v>
      </c>
    </row>
    <row r="12" spans="1:8" x14ac:dyDescent="0.25">
      <c r="A12" t="s">
        <v>661</v>
      </c>
      <c r="C12">
        <v>3.9000000000000004</v>
      </c>
      <c r="D12">
        <v>7.6</v>
      </c>
      <c r="E12">
        <v>4.875</v>
      </c>
      <c r="F12">
        <v>9.5</v>
      </c>
      <c r="G12">
        <v>5.85</v>
      </c>
      <c r="H12">
        <v>11.399999999999999</v>
      </c>
    </row>
    <row r="13" spans="1:8" x14ac:dyDescent="0.25">
      <c r="A13" t="s">
        <v>62</v>
      </c>
      <c r="B13" t="s">
        <v>219</v>
      </c>
      <c r="C13">
        <v>0.1</v>
      </c>
      <c r="D13">
        <v>0.1</v>
      </c>
      <c r="E13">
        <v>0.125</v>
      </c>
      <c r="F13">
        <v>0.125</v>
      </c>
      <c r="G13">
        <v>0.15</v>
      </c>
      <c r="H13">
        <v>0.15</v>
      </c>
    </row>
    <row r="14" spans="1:8" x14ac:dyDescent="0.25">
      <c r="B14" t="s">
        <v>225</v>
      </c>
      <c r="C14">
        <v>0.2</v>
      </c>
      <c r="D14">
        <v>0.2</v>
      </c>
      <c r="E14">
        <v>0.25</v>
      </c>
      <c r="F14">
        <v>0.25</v>
      </c>
      <c r="G14">
        <v>0.3</v>
      </c>
      <c r="H14">
        <v>0.3</v>
      </c>
    </row>
    <row r="15" spans="1:8" x14ac:dyDescent="0.25">
      <c r="B15" t="s">
        <v>232</v>
      </c>
      <c r="C15">
        <v>0.45</v>
      </c>
      <c r="D15">
        <v>0.45</v>
      </c>
      <c r="E15">
        <v>0.5625</v>
      </c>
      <c r="F15">
        <v>0.5625</v>
      </c>
      <c r="G15">
        <v>0.67500000000000004</v>
      </c>
      <c r="H15">
        <v>0.67500000000000004</v>
      </c>
    </row>
    <row r="16" spans="1:8" x14ac:dyDescent="0.25">
      <c r="B16" t="s">
        <v>241</v>
      </c>
      <c r="C16">
        <v>0.2</v>
      </c>
      <c r="D16">
        <v>0.2</v>
      </c>
      <c r="E16">
        <v>0.25</v>
      </c>
      <c r="F16">
        <v>0.25</v>
      </c>
      <c r="G16">
        <v>0.3</v>
      </c>
      <c r="H16">
        <v>0.3</v>
      </c>
    </row>
    <row r="17" spans="1:8" x14ac:dyDescent="0.25">
      <c r="B17" t="s">
        <v>249</v>
      </c>
      <c r="C17">
        <v>0.4</v>
      </c>
      <c r="D17">
        <v>0.8</v>
      </c>
      <c r="E17">
        <v>0.5</v>
      </c>
      <c r="F17">
        <v>1</v>
      </c>
      <c r="G17">
        <v>0.6</v>
      </c>
      <c r="H17">
        <v>1.2</v>
      </c>
    </row>
    <row r="18" spans="1:8" x14ac:dyDescent="0.25">
      <c r="B18" t="s">
        <v>255</v>
      </c>
      <c r="C18">
        <v>0.4</v>
      </c>
      <c r="D18">
        <v>0.8</v>
      </c>
      <c r="E18">
        <v>0.5</v>
      </c>
      <c r="F18">
        <v>1</v>
      </c>
      <c r="G18">
        <v>0.6</v>
      </c>
      <c r="H18">
        <v>1.2</v>
      </c>
    </row>
    <row r="19" spans="1:8" x14ac:dyDescent="0.25">
      <c r="B19" t="s">
        <v>262</v>
      </c>
      <c r="C19">
        <v>0.4</v>
      </c>
      <c r="D19">
        <v>0.8</v>
      </c>
      <c r="E19">
        <v>0.5</v>
      </c>
      <c r="F19">
        <v>1</v>
      </c>
      <c r="G19">
        <v>0.6</v>
      </c>
      <c r="H19">
        <v>1.2</v>
      </c>
    </row>
    <row r="20" spans="1:8" x14ac:dyDescent="0.25">
      <c r="B20" t="s">
        <v>267</v>
      </c>
      <c r="C20">
        <v>0.4</v>
      </c>
      <c r="D20">
        <v>0.8</v>
      </c>
      <c r="E20">
        <v>0.5</v>
      </c>
      <c r="F20">
        <v>1</v>
      </c>
      <c r="G20">
        <v>0.6</v>
      </c>
      <c r="H20">
        <v>1.2</v>
      </c>
    </row>
    <row r="21" spans="1:8" x14ac:dyDescent="0.25">
      <c r="B21" t="s">
        <v>273</v>
      </c>
      <c r="C21">
        <v>0.4</v>
      </c>
      <c r="D21">
        <v>0.8</v>
      </c>
      <c r="E21">
        <v>0.5</v>
      </c>
      <c r="F21">
        <v>1</v>
      </c>
      <c r="G21">
        <v>0.6</v>
      </c>
      <c r="H21">
        <v>1.2</v>
      </c>
    </row>
    <row r="22" spans="1:8" x14ac:dyDescent="0.25">
      <c r="B22" t="s">
        <v>279</v>
      </c>
      <c r="C22">
        <v>0.4</v>
      </c>
      <c r="D22">
        <v>0.8</v>
      </c>
      <c r="E22">
        <v>0.5</v>
      </c>
      <c r="F22">
        <v>1</v>
      </c>
      <c r="G22">
        <v>0.6</v>
      </c>
      <c r="H22">
        <v>1.2</v>
      </c>
    </row>
    <row r="23" spans="1:8" x14ac:dyDescent="0.25">
      <c r="B23" t="s">
        <v>284</v>
      </c>
      <c r="C23">
        <v>0.9</v>
      </c>
      <c r="D23">
        <v>1.8</v>
      </c>
      <c r="E23">
        <v>1.125</v>
      </c>
      <c r="F23">
        <v>2.25</v>
      </c>
      <c r="G23">
        <v>1.35</v>
      </c>
      <c r="H23">
        <v>2.7</v>
      </c>
    </row>
    <row r="24" spans="1:8" x14ac:dyDescent="0.25">
      <c r="B24" t="s">
        <v>289</v>
      </c>
      <c r="C24">
        <v>0.4</v>
      </c>
      <c r="D24">
        <v>0.8</v>
      </c>
      <c r="E24">
        <v>0.5</v>
      </c>
      <c r="F24">
        <v>1</v>
      </c>
      <c r="G24">
        <v>0.6</v>
      </c>
      <c r="H24">
        <v>1.2</v>
      </c>
    </row>
    <row r="25" spans="1:8" x14ac:dyDescent="0.25">
      <c r="A25" t="s">
        <v>662</v>
      </c>
      <c r="C25">
        <v>4.6500000000000004</v>
      </c>
      <c r="D25">
        <v>8.35</v>
      </c>
      <c r="E25">
        <v>5.8125</v>
      </c>
      <c r="F25">
        <v>10.4375</v>
      </c>
      <c r="G25">
        <v>6.9749999999999996</v>
      </c>
      <c r="H25">
        <v>12.524999999999999</v>
      </c>
    </row>
    <row r="26" spans="1:8" x14ac:dyDescent="0.25">
      <c r="A26" t="s">
        <v>69</v>
      </c>
      <c r="B26" t="s">
        <v>301</v>
      </c>
      <c r="C26">
        <v>0.15</v>
      </c>
      <c r="D26">
        <v>0.15</v>
      </c>
      <c r="E26">
        <v>0.1875</v>
      </c>
      <c r="F26">
        <v>0.1875</v>
      </c>
      <c r="G26">
        <v>0.22500000000000001</v>
      </c>
      <c r="H26">
        <v>0.22500000000000001</v>
      </c>
    </row>
    <row r="27" spans="1:8" x14ac:dyDescent="0.25">
      <c r="B27" t="s">
        <v>304</v>
      </c>
      <c r="C27">
        <v>0.2</v>
      </c>
      <c r="D27">
        <v>0.2</v>
      </c>
      <c r="E27">
        <v>0.25</v>
      </c>
      <c r="F27">
        <v>0.25</v>
      </c>
      <c r="G27">
        <v>0.3</v>
      </c>
      <c r="H27">
        <v>0.3</v>
      </c>
    </row>
    <row r="28" spans="1:8" x14ac:dyDescent="0.25">
      <c r="B28" t="s">
        <v>312</v>
      </c>
      <c r="C28">
        <v>0.2</v>
      </c>
      <c r="D28">
        <v>0.2</v>
      </c>
      <c r="E28">
        <v>0.25</v>
      </c>
      <c r="F28">
        <v>0.25</v>
      </c>
      <c r="G28">
        <v>0.3</v>
      </c>
      <c r="H28">
        <v>0.3</v>
      </c>
    </row>
    <row r="29" spans="1:8" x14ac:dyDescent="0.25">
      <c r="B29" t="s">
        <v>330</v>
      </c>
      <c r="C29">
        <v>0.4</v>
      </c>
      <c r="D29">
        <v>0.8</v>
      </c>
      <c r="E29">
        <v>0.5</v>
      </c>
      <c r="F29">
        <v>1</v>
      </c>
      <c r="G29">
        <v>0.6</v>
      </c>
      <c r="H29">
        <v>1.2</v>
      </c>
    </row>
    <row r="30" spans="1:8" x14ac:dyDescent="0.25">
      <c r="B30" t="s">
        <v>334</v>
      </c>
      <c r="C30">
        <v>0.4</v>
      </c>
      <c r="D30">
        <v>0.8</v>
      </c>
      <c r="E30">
        <v>0.5</v>
      </c>
      <c r="F30">
        <v>1</v>
      </c>
      <c r="G30">
        <v>0.6</v>
      </c>
      <c r="H30">
        <v>1.2</v>
      </c>
    </row>
    <row r="31" spans="1:8" x14ac:dyDescent="0.25">
      <c r="B31" t="s">
        <v>341</v>
      </c>
      <c r="C31">
        <v>0.4</v>
      </c>
      <c r="D31">
        <v>0.8</v>
      </c>
      <c r="E31">
        <v>0.5</v>
      </c>
      <c r="F31">
        <v>1</v>
      </c>
      <c r="G31">
        <v>0.6</v>
      </c>
      <c r="H31">
        <v>1.2</v>
      </c>
    </row>
    <row r="32" spans="1:8" x14ac:dyDescent="0.25">
      <c r="B32" t="s">
        <v>358</v>
      </c>
      <c r="C32">
        <v>0.4</v>
      </c>
      <c r="D32">
        <v>0.8</v>
      </c>
      <c r="E32">
        <v>0.5</v>
      </c>
      <c r="F32">
        <v>1</v>
      </c>
      <c r="G32">
        <v>0.6</v>
      </c>
      <c r="H32">
        <v>1.2</v>
      </c>
    </row>
    <row r="33" spans="1:8" x14ac:dyDescent="0.25">
      <c r="B33" t="s">
        <v>366</v>
      </c>
      <c r="C33">
        <v>2</v>
      </c>
      <c r="D33">
        <v>4</v>
      </c>
      <c r="E33">
        <v>2.5</v>
      </c>
      <c r="F33">
        <v>5</v>
      </c>
      <c r="G33">
        <v>3</v>
      </c>
      <c r="H33">
        <v>6</v>
      </c>
    </row>
    <row r="34" spans="1:8" x14ac:dyDescent="0.25">
      <c r="B34" t="s">
        <v>373</v>
      </c>
      <c r="C34">
        <v>0.4</v>
      </c>
      <c r="D34">
        <v>0.8</v>
      </c>
      <c r="E34">
        <v>0.5</v>
      </c>
      <c r="F34">
        <v>1</v>
      </c>
      <c r="G34">
        <v>0.6</v>
      </c>
      <c r="H34">
        <v>1.2</v>
      </c>
    </row>
    <row r="35" spans="1:8" x14ac:dyDescent="0.25">
      <c r="A35" t="s">
        <v>663</v>
      </c>
      <c r="C35">
        <v>4.5500000000000007</v>
      </c>
      <c r="D35">
        <v>8.5500000000000007</v>
      </c>
      <c r="E35">
        <v>5.6875</v>
      </c>
      <c r="F35">
        <v>10.6875</v>
      </c>
      <c r="G35">
        <v>6.8249999999999993</v>
      </c>
      <c r="H35">
        <v>12.824999999999999</v>
      </c>
    </row>
    <row r="36" spans="1:8" x14ac:dyDescent="0.25">
      <c r="A36" t="s">
        <v>45</v>
      </c>
      <c r="B36" t="s">
        <v>400</v>
      </c>
      <c r="C36">
        <v>0.2</v>
      </c>
      <c r="D36">
        <v>0.2</v>
      </c>
      <c r="E36">
        <v>0.25</v>
      </c>
      <c r="F36">
        <v>0.25</v>
      </c>
      <c r="G36">
        <v>0.3</v>
      </c>
      <c r="H36">
        <v>0.3</v>
      </c>
    </row>
    <row r="37" spans="1:8" x14ac:dyDescent="0.25">
      <c r="B37" t="s">
        <v>408</v>
      </c>
      <c r="C37">
        <v>0.6</v>
      </c>
      <c r="D37">
        <v>1.2</v>
      </c>
      <c r="E37">
        <v>0.75</v>
      </c>
      <c r="F37">
        <v>1.5</v>
      </c>
      <c r="G37">
        <v>0.9</v>
      </c>
      <c r="H37">
        <v>1.8</v>
      </c>
    </row>
    <row r="38" spans="1:8" x14ac:dyDescent="0.25">
      <c r="B38" t="s">
        <v>418</v>
      </c>
      <c r="C38">
        <v>0.4</v>
      </c>
      <c r="D38">
        <v>0.8</v>
      </c>
      <c r="E38">
        <v>0.5</v>
      </c>
      <c r="F38">
        <v>1</v>
      </c>
      <c r="G38">
        <v>0.6</v>
      </c>
      <c r="H38">
        <v>1.2</v>
      </c>
    </row>
    <row r="39" spans="1:8" x14ac:dyDescent="0.25">
      <c r="B39" t="s">
        <v>436</v>
      </c>
      <c r="C39">
        <v>0.9</v>
      </c>
      <c r="D39">
        <v>1.8</v>
      </c>
      <c r="E39">
        <v>1.125</v>
      </c>
      <c r="F39">
        <v>2.25</v>
      </c>
      <c r="G39">
        <v>1.35</v>
      </c>
      <c r="H39">
        <v>2.7</v>
      </c>
    </row>
    <row r="40" spans="1:8" x14ac:dyDescent="0.25">
      <c r="B40" t="s">
        <v>442</v>
      </c>
      <c r="C40">
        <v>0.4</v>
      </c>
      <c r="D40">
        <v>0.8</v>
      </c>
      <c r="E40">
        <v>0.5</v>
      </c>
      <c r="F40">
        <v>1</v>
      </c>
      <c r="G40">
        <v>0.6</v>
      </c>
      <c r="H40">
        <v>1.2</v>
      </c>
    </row>
    <row r="41" spans="1:8" x14ac:dyDescent="0.25">
      <c r="B41" t="s">
        <v>446</v>
      </c>
      <c r="C41">
        <v>0.9</v>
      </c>
      <c r="D41">
        <v>1.8</v>
      </c>
      <c r="E41">
        <v>1.125</v>
      </c>
      <c r="F41">
        <v>2.25</v>
      </c>
      <c r="G41">
        <v>1.35</v>
      </c>
      <c r="H41">
        <v>2.7</v>
      </c>
    </row>
    <row r="42" spans="1:8" x14ac:dyDescent="0.25">
      <c r="B42" t="s">
        <v>450</v>
      </c>
      <c r="C42">
        <v>0.4</v>
      </c>
      <c r="D42">
        <v>0.8</v>
      </c>
      <c r="E42">
        <v>0.5</v>
      </c>
      <c r="F42">
        <v>1</v>
      </c>
      <c r="G42">
        <v>0.6</v>
      </c>
      <c r="H42">
        <v>1.2</v>
      </c>
    </row>
    <row r="43" spans="1:8" x14ac:dyDescent="0.25">
      <c r="B43" t="s">
        <v>454</v>
      </c>
      <c r="C43">
        <v>0.4</v>
      </c>
      <c r="D43">
        <v>0.8</v>
      </c>
      <c r="E43">
        <v>0.5</v>
      </c>
      <c r="F43">
        <v>1</v>
      </c>
      <c r="G43">
        <v>0.6</v>
      </c>
      <c r="H43">
        <v>1.2</v>
      </c>
    </row>
    <row r="44" spans="1:8" x14ac:dyDescent="0.25">
      <c r="A44" t="s">
        <v>664</v>
      </c>
      <c r="C44">
        <v>4.2</v>
      </c>
      <c r="D44">
        <v>8.1999999999999993</v>
      </c>
      <c r="E44">
        <v>5.25</v>
      </c>
      <c r="F44">
        <v>10.25</v>
      </c>
      <c r="G44">
        <v>6.2999999999999989</v>
      </c>
      <c r="H44">
        <v>12.299999999999999</v>
      </c>
    </row>
    <row r="45" spans="1:8" x14ac:dyDescent="0.25">
      <c r="A45" t="s">
        <v>76</v>
      </c>
      <c r="B45" t="s">
        <v>474</v>
      </c>
      <c r="C45">
        <v>0.2</v>
      </c>
      <c r="D45">
        <v>0.2</v>
      </c>
      <c r="E45">
        <v>0.25</v>
      </c>
      <c r="F45">
        <v>0.25</v>
      </c>
      <c r="G45">
        <v>0.3</v>
      </c>
      <c r="H45">
        <v>0.3</v>
      </c>
    </row>
    <row r="46" spans="1:8" x14ac:dyDescent="0.25">
      <c r="B46" t="s">
        <v>477</v>
      </c>
      <c r="C46">
        <v>0.6</v>
      </c>
      <c r="D46">
        <v>1.2</v>
      </c>
      <c r="E46">
        <v>0.75</v>
      </c>
      <c r="F46">
        <v>1.5</v>
      </c>
      <c r="G46">
        <v>0.9</v>
      </c>
      <c r="H46">
        <v>1.8</v>
      </c>
    </row>
    <row r="47" spans="1:8" x14ac:dyDescent="0.25">
      <c r="B47" t="s">
        <v>482</v>
      </c>
      <c r="C47">
        <v>0.4</v>
      </c>
      <c r="D47">
        <v>0.8</v>
      </c>
      <c r="E47">
        <v>0.5</v>
      </c>
      <c r="F47">
        <v>1</v>
      </c>
      <c r="G47">
        <v>0.6</v>
      </c>
      <c r="H47">
        <v>1.2</v>
      </c>
    </row>
    <row r="48" spans="1:8" x14ac:dyDescent="0.25">
      <c r="B48" t="s">
        <v>486</v>
      </c>
      <c r="C48">
        <v>0.4</v>
      </c>
      <c r="D48">
        <v>0.8</v>
      </c>
      <c r="E48">
        <v>0.5</v>
      </c>
      <c r="F48">
        <v>1</v>
      </c>
      <c r="G48">
        <v>0.6</v>
      </c>
      <c r="H48">
        <v>1.2</v>
      </c>
    </row>
    <row r="49" spans="1:8" x14ac:dyDescent="0.25">
      <c r="B49" t="s">
        <v>489</v>
      </c>
      <c r="C49">
        <v>0.6</v>
      </c>
      <c r="D49">
        <v>1.2</v>
      </c>
      <c r="E49">
        <v>0.75</v>
      </c>
      <c r="F49">
        <v>1.5</v>
      </c>
      <c r="G49">
        <v>0.9</v>
      </c>
      <c r="H49">
        <v>1.8</v>
      </c>
    </row>
    <row r="50" spans="1:8" x14ac:dyDescent="0.25">
      <c r="B50" t="s">
        <v>493</v>
      </c>
      <c r="C50">
        <v>0.1</v>
      </c>
      <c r="D50">
        <v>0.4</v>
      </c>
      <c r="E50">
        <v>0.125</v>
      </c>
      <c r="F50">
        <v>0.5</v>
      </c>
      <c r="G50">
        <v>0.15</v>
      </c>
      <c r="H50">
        <v>0.6</v>
      </c>
    </row>
    <row r="51" spans="1:8" x14ac:dyDescent="0.25">
      <c r="A51" t="s">
        <v>665</v>
      </c>
      <c r="C51">
        <v>2.3000000000000003</v>
      </c>
      <c r="D51">
        <v>4.6000000000000005</v>
      </c>
      <c r="E51">
        <v>2.875</v>
      </c>
      <c r="F51">
        <v>5.75</v>
      </c>
      <c r="G51">
        <v>3.4499999999999997</v>
      </c>
      <c r="H51">
        <v>6.8999999999999995</v>
      </c>
    </row>
    <row r="52" spans="1:8" x14ac:dyDescent="0.25">
      <c r="A52" t="s">
        <v>78</v>
      </c>
      <c r="B52" t="s">
        <v>532</v>
      </c>
      <c r="C52">
        <v>0.1</v>
      </c>
      <c r="D52">
        <v>0.1</v>
      </c>
      <c r="E52">
        <v>0.125</v>
      </c>
      <c r="F52">
        <v>0.125</v>
      </c>
      <c r="G52">
        <v>0.15</v>
      </c>
      <c r="H52">
        <v>0.15</v>
      </c>
    </row>
    <row r="53" spans="1:8" x14ac:dyDescent="0.25">
      <c r="B53" t="s">
        <v>535</v>
      </c>
      <c r="C53">
        <v>0.2</v>
      </c>
      <c r="D53">
        <v>0.2</v>
      </c>
      <c r="E53">
        <v>0.25</v>
      </c>
      <c r="F53">
        <v>0.25</v>
      </c>
      <c r="G53">
        <v>0.3</v>
      </c>
      <c r="H53">
        <v>0.3</v>
      </c>
    </row>
    <row r="54" spans="1:8" x14ac:dyDescent="0.25">
      <c r="B54" t="s">
        <v>541</v>
      </c>
      <c r="C54">
        <v>0.2</v>
      </c>
      <c r="D54">
        <v>0.2</v>
      </c>
      <c r="E54">
        <v>0.25</v>
      </c>
      <c r="F54">
        <v>0.25</v>
      </c>
      <c r="G54">
        <v>0.3</v>
      </c>
      <c r="H54">
        <v>0.3</v>
      </c>
    </row>
    <row r="55" spans="1:8" x14ac:dyDescent="0.25">
      <c r="B55" t="s">
        <v>548</v>
      </c>
      <c r="C55">
        <v>0.9</v>
      </c>
      <c r="D55">
        <v>1.8</v>
      </c>
      <c r="E55">
        <v>1.125</v>
      </c>
      <c r="F55">
        <v>2.25</v>
      </c>
      <c r="G55">
        <v>1.35</v>
      </c>
      <c r="H55">
        <v>2.7</v>
      </c>
    </row>
    <row r="56" spans="1:8" x14ac:dyDescent="0.25">
      <c r="B56" t="s">
        <v>567</v>
      </c>
      <c r="C56">
        <v>0.4</v>
      </c>
      <c r="D56">
        <v>0.8</v>
      </c>
      <c r="E56">
        <v>0.5</v>
      </c>
      <c r="F56">
        <v>1</v>
      </c>
      <c r="G56">
        <v>0.6</v>
      </c>
      <c r="H56">
        <v>1.2</v>
      </c>
    </row>
    <row r="57" spans="1:8" x14ac:dyDescent="0.25">
      <c r="B57" t="s">
        <v>572</v>
      </c>
      <c r="C57">
        <v>0.4</v>
      </c>
      <c r="D57">
        <v>0.8</v>
      </c>
      <c r="E57">
        <v>0.5</v>
      </c>
      <c r="F57">
        <v>1</v>
      </c>
      <c r="G57">
        <v>0.6</v>
      </c>
      <c r="H57">
        <v>1.2</v>
      </c>
    </row>
    <row r="58" spans="1:8" x14ac:dyDescent="0.25">
      <c r="B58" t="s">
        <v>580</v>
      </c>
      <c r="C58">
        <v>0.6</v>
      </c>
      <c r="D58">
        <v>1.2</v>
      </c>
      <c r="E58">
        <v>0.75</v>
      </c>
      <c r="F58">
        <v>1.5</v>
      </c>
      <c r="G58">
        <v>0.9</v>
      </c>
      <c r="H58">
        <v>1.8</v>
      </c>
    </row>
    <row r="59" spans="1:8" x14ac:dyDescent="0.25">
      <c r="B59" t="s">
        <v>592</v>
      </c>
      <c r="C59">
        <v>0.6</v>
      </c>
      <c r="D59">
        <v>1.2</v>
      </c>
      <c r="E59">
        <v>0.75</v>
      </c>
      <c r="F59">
        <v>1.5</v>
      </c>
      <c r="G59">
        <v>0.9</v>
      </c>
      <c r="H59">
        <v>1.8</v>
      </c>
    </row>
    <row r="60" spans="1:8" x14ac:dyDescent="0.25">
      <c r="A60" t="s">
        <v>666</v>
      </c>
      <c r="C60">
        <v>3.4</v>
      </c>
      <c r="D60">
        <v>6.3</v>
      </c>
      <c r="E60">
        <v>4.25</v>
      </c>
      <c r="F60">
        <v>7.875</v>
      </c>
      <c r="G60">
        <v>5.1000000000000005</v>
      </c>
      <c r="H60">
        <v>9.4500000000000011</v>
      </c>
    </row>
    <row r="61" spans="1:8" x14ac:dyDescent="0.25">
      <c r="A61" t="s">
        <v>646</v>
      </c>
      <c r="C61">
        <v>23</v>
      </c>
      <c r="D61">
        <v>43.600000000000016</v>
      </c>
      <c r="E61">
        <v>28.75</v>
      </c>
      <c r="F61">
        <v>54.5</v>
      </c>
      <c r="G61">
        <v>34.500000000000007</v>
      </c>
      <c r="H61">
        <v>65.400000000000006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5BB4E-3642-459E-AC33-A15A8105EB8C}">
  <dimension ref="E5:R16"/>
  <sheetViews>
    <sheetView workbookViewId="0">
      <selection activeCell="I12" sqref="I12"/>
    </sheetView>
  </sheetViews>
  <sheetFormatPr baseColWidth="10" defaultColWidth="11.42578125" defaultRowHeight="15" x14ac:dyDescent="0.25"/>
  <cols>
    <col min="6" max="6" width="20.140625" customWidth="1"/>
    <col min="7" max="7" width="2.5703125" customWidth="1"/>
    <col min="9" max="10" width="2.42578125" customWidth="1"/>
  </cols>
  <sheetData>
    <row r="5" spans="5:18" x14ac:dyDescent="0.25">
      <c r="E5" s="28"/>
      <c r="F5" s="28"/>
      <c r="G5" s="28"/>
      <c r="H5" s="28"/>
      <c r="I5" s="28"/>
      <c r="J5" s="28"/>
      <c r="K5" s="28"/>
      <c r="L5" s="28"/>
      <c r="M5" s="28"/>
    </row>
    <row r="6" spans="5:18" ht="15.75" thickBot="1" x14ac:dyDescent="0.3">
      <c r="E6" s="28"/>
      <c r="F6" s="28"/>
      <c r="G6" s="28"/>
      <c r="H6" s="28"/>
      <c r="I6" s="28"/>
      <c r="J6" s="28"/>
      <c r="K6" s="28"/>
      <c r="L6" s="28"/>
      <c r="M6" s="28"/>
    </row>
    <row r="7" spans="5:18" x14ac:dyDescent="0.25">
      <c r="E7" s="89"/>
      <c r="F7" s="90"/>
      <c r="G7" s="90"/>
      <c r="H7" s="90"/>
      <c r="I7" s="90"/>
      <c r="J7" s="90"/>
      <c r="K7" s="90"/>
      <c r="L7" s="91"/>
      <c r="M7" s="28"/>
    </row>
    <row r="8" spans="5:18" x14ac:dyDescent="0.25">
      <c r="E8" s="92"/>
      <c r="F8" s="88" t="s">
        <v>667</v>
      </c>
      <c r="G8" s="28" t="s">
        <v>668</v>
      </c>
      <c r="H8" s="28" t="s">
        <v>669</v>
      </c>
      <c r="I8" s="28" t="s">
        <v>668</v>
      </c>
      <c r="J8" s="28" t="s">
        <v>670</v>
      </c>
      <c r="K8" s="28"/>
      <c r="L8" s="93"/>
      <c r="M8" s="28"/>
    </row>
    <row r="9" spans="5:18" x14ac:dyDescent="0.25">
      <c r="E9" s="92"/>
      <c r="F9" s="88">
        <v>8</v>
      </c>
      <c r="G9" s="88"/>
      <c r="H9" s="88"/>
      <c r="I9" s="88"/>
      <c r="J9" s="88"/>
      <c r="K9" s="88"/>
      <c r="L9" s="93"/>
      <c r="M9" s="28"/>
    </row>
    <row r="10" spans="5:18" x14ac:dyDescent="0.25">
      <c r="E10" s="92"/>
      <c r="F10" s="164">
        <v>5</v>
      </c>
      <c r="G10" s="164"/>
      <c r="H10" s="164"/>
      <c r="I10" s="164"/>
      <c r="J10" s="164"/>
      <c r="K10" s="164"/>
      <c r="L10" s="93"/>
      <c r="M10" s="28"/>
      <c r="O10">
        <v>1</v>
      </c>
      <c r="P10">
        <v>1</v>
      </c>
      <c r="R10">
        <f>O13*P10</f>
        <v>3.5</v>
      </c>
    </row>
    <row r="11" spans="5:18" ht="15.75" thickBot="1" x14ac:dyDescent="0.3">
      <c r="E11" s="94"/>
      <c r="F11" s="95"/>
      <c r="G11" s="95"/>
      <c r="H11" s="95"/>
      <c r="I11" s="95"/>
      <c r="J11" s="95"/>
      <c r="K11" s="95"/>
      <c r="L11" s="96"/>
      <c r="M11" s="28"/>
      <c r="O11">
        <v>1.5</v>
      </c>
      <c r="P11">
        <v>1.5</v>
      </c>
    </row>
    <row r="12" spans="5:18" x14ac:dyDescent="0.25">
      <c r="E12" s="28"/>
      <c r="F12" s="28"/>
      <c r="G12" s="28"/>
      <c r="H12" s="28"/>
      <c r="I12" s="28"/>
      <c r="J12" s="28"/>
      <c r="K12" s="28"/>
      <c r="L12" s="28"/>
      <c r="M12" s="28"/>
      <c r="O12">
        <v>2.5</v>
      </c>
      <c r="P12">
        <v>2.5</v>
      </c>
      <c r="R12">
        <f>O12*P12</f>
        <v>6.25</v>
      </c>
    </row>
    <row r="13" spans="5:18" x14ac:dyDescent="0.25">
      <c r="E13" s="28"/>
      <c r="F13" s="28"/>
      <c r="G13" s="28"/>
      <c r="H13" s="28"/>
      <c r="I13" s="28"/>
      <c r="J13" s="28"/>
      <c r="K13" s="28"/>
      <c r="L13" s="28"/>
      <c r="M13" s="28"/>
      <c r="O13">
        <v>3.5</v>
      </c>
      <c r="P13">
        <v>0</v>
      </c>
    </row>
    <row r="14" spans="5:18" x14ac:dyDescent="0.25">
      <c r="E14" s="28"/>
      <c r="F14" s="28"/>
      <c r="G14" s="28"/>
      <c r="H14" s="28"/>
      <c r="I14" s="28"/>
      <c r="J14" s="28"/>
      <c r="K14" s="28"/>
      <c r="L14" s="28"/>
      <c r="M14" s="28"/>
    </row>
    <row r="15" spans="5:18" x14ac:dyDescent="0.25">
      <c r="E15" s="28"/>
      <c r="F15" s="28"/>
      <c r="G15" s="28"/>
      <c r="H15" s="28"/>
      <c r="I15" s="28"/>
      <c r="J15" s="28"/>
      <c r="K15" s="28"/>
      <c r="L15" s="28"/>
      <c r="M15" s="28"/>
    </row>
    <row r="16" spans="5:18" x14ac:dyDescent="0.25">
      <c r="E16" s="28"/>
      <c r="F16" s="28"/>
      <c r="G16" s="28"/>
      <c r="H16" s="28"/>
      <c r="I16" s="28"/>
      <c r="J16" s="28"/>
      <c r="K16" s="28"/>
      <c r="L16" s="28"/>
      <c r="M16" s="28"/>
    </row>
  </sheetData>
  <mergeCells count="1">
    <mergeCell ref="F10:K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DCB4B33EB0C484CBFE59B1CF46AA889" ma:contentTypeVersion="17" ma:contentTypeDescription="Crear nuevo documento." ma:contentTypeScope="" ma:versionID="702ce28bd278b563df12b64179c5519d">
  <xsd:schema xmlns:xsd="http://www.w3.org/2001/XMLSchema" xmlns:xs="http://www.w3.org/2001/XMLSchema" xmlns:p="http://schemas.microsoft.com/office/2006/metadata/properties" xmlns:ns2="56642f42-e71d-4b7e-aa91-a9ce4f52a68f" xmlns:ns3="fedfc06d-1025-4a9a-b35a-e0b6ce5bd9ef" xmlns:ns4="59cc6ae5-a010-4c23-95f7-b99e41ff18af" targetNamespace="http://schemas.microsoft.com/office/2006/metadata/properties" ma:root="true" ma:fieldsID="bf2ee0ad3019a2ebe902e8ce19dc3ed3" ns2:_="" ns3:_="" ns4:_="">
    <xsd:import namespace="56642f42-e71d-4b7e-aa91-a9ce4f52a68f"/>
    <xsd:import namespace="fedfc06d-1025-4a9a-b35a-e0b6ce5bd9ef"/>
    <xsd:import namespace="59cc6ae5-a010-4c23-95f7-b99e41ff18af"/>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Statusdocumento" minOccurs="0"/>
                <xsd:element ref="ns2:lcf76f155ced4ddcb4097134ff3c332f" minOccurs="0"/>
                <xsd:element ref="ns4:TaxCatchAll" minOccurs="0"/>
                <xsd:element ref="ns2:MediaServiceSearchProperties"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642f42-e71d-4b7e-aa91-a9ce4f52a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Statusdocumento" ma:index="15" nillable="true" ma:displayName="Status documento" ma:default="En construcción" ma:description="Indica el status de revisión del documento" ma:format="Dropdown" ma:internalName="Statusdocumento">
      <xsd:simpleType>
        <xsd:restriction base="dms:Choice">
          <xsd:enumeration value="En construcción"/>
          <xsd:enumeration value="En aprobación"/>
          <xsd:enumeration value="Aprobado"/>
          <xsd:enumeration value="Observado"/>
        </xsd:restrictio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b0ddd21b-762e-48f6-9c4a-52ac7d68aec4" ma:termSetId="09814cd3-568e-fe90-9814-8d621ff8fb84" ma:anchorId="fba54fb3-c3e1-fe81-a776-ca4b69148c4d" ma:open="true" ma:isKeyword="false">
      <xsd:complexType>
        <xsd:sequence>
          <xsd:element ref="pc:Terms" minOccurs="0" maxOccurs="1"/>
        </xsd:sequence>
      </xsd:complex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edfc06d-1025-4a9a-b35a-e0b6ce5bd9ef" elementFormDefault="qualified">
    <xsd:import namespace="http://schemas.microsoft.com/office/2006/documentManagement/types"/>
    <xsd:import namespace="http://schemas.microsoft.com/office/infopath/2007/PartnerControls"/>
    <xsd:element name="SharedWithUsers" ma:index="13"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9cc6ae5-a010-4c23-95f7-b99e41ff18a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9795c5a-a280-4721-a5dc-9608dfc17291}" ma:internalName="TaxCatchAll" ma:showField="CatchAllData" ma:web="ed308445-8884-48a6-bf9d-e88c4fc27b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documento xmlns="56642f42-e71d-4b7e-aa91-a9ce4f52a68f">En construcción</Statusdocumento>
    <TaxCatchAll xmlns="59cc6ae5-a010-4c23-95f7-b99e41ff18af" xsi:nil="true"/>
    <lcf76f155ced4ddcb4097134ff3c332f xmlns="56642f42-e71d-4b7e-aa91-a9ce4f52a68f">
      <Terms xmlns="http://schemas.microsoft.com/office/infopath/2007/PartnerControls"/>
    </lcf76f155ced4ddcb4097134ff3c332f>
    <SharedWithUsers xmlns="fedfc06d-1025-4a9a-b35a-e0b6ce5bd9ef">
      <UserInfo>
        <DisplayName>Luis Chuquitaype</DisplayName>
        <AccountId>60</AccountId>
        <AccountType/>
      </UserInfo>
      <UserInfo>
        <DisplayName>Yvan Montero</DisplayName>
        <AccountId>71</AccountId>
        <AccountType/>
      </UserInfo>
      <UserInfo>
        <DisplayName>Santiago Sánchez</DisplayName>
        <AccountId>31</AccountId>
        <AccountType/>
      </UserInfo>
      <UserInfo>
        <DisplayName>Carlos Vargas</DisplayName>
        <AccountId>115</AccountId>
        <AccountType/>
      </UserInfo>
      <UserInfo>
        <DisplayName>Mitsuo Yamauchi</DisplayName>
        <AccountId>127</AccountId>
        <AccountType/>
      </UserInfo>
      <UserInfo>
        <DisplayName>Nancy Nalvarte</DisplayName>
        <AccountId>131</AccountId>
        <AccountType/>
      </UserInfo>
      <UserInfo>
        <DisplayName>Valeria Perez</DisplayName>
        <AccountId>26</AccountId>
        <AccountType/>
      </UserInfo>
    </SharedWithUsers>
  </documentManagement>
</p:properties>
</file>

<file path=customXml/itemProps1.xml><?xml version="1.0" encoding="utf-8"?>
<ds:datastoreItem xmlns:ds="http://schemas.openxmlformats.org/officeDocument/2006/customXml" ds:itemID="{B239C6A4-7D26-4A08-90E3-F14345876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642f42-e71d-4b7e-aa91-a9ce4f52a68f"/>
    <ds:schemaRef ds:uri="fedfc06d-1025-4a9a-b35a-e0b6ce5bd9ef"/>
    <ds:schemaRef ds:uri="59cc6ae5-a010-4c23-95f7-b99e41ff18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1D0F4C-7006-470E-9B19-D1683CEF00DC}">
  <ds:schemaRefs>
    <ds:schemaRef ds:uri="http://schemas.microsoft.com/sharepoint/v3/contenttype/forms"/>
  </ds:schemaRefs>
</ds:datastoreItem>
</file>

<file path=customXml/itemProps3.xml><?xml version="1.0" encoding="utf-8"?>
<ds:datastoreItem xmlns:ds="http://schemas.openxmlformats.org/officeDocument/2006/customXml" ds:itemID="{629B5242-ED11-46A7-99C4-F3FED9837803}">
  <ds:schemaRefs>
    <ds:schemaRef ds:uri="http://schemas.microsoft.com/office/2006/metadata/properties"/>
    <ds:schemaRef ds:uri="http://schemas.microsoft.com/office/infopath/2007/PartnerControls"/>
    <ds:schemaRef ds:uri="56642f42-e71d-4b7e-aa91-a9ce4f52a68f"/>
    <ds:schemaRef ds:uri="59cc6ae5-a010-4c23-95f7-b99e41ff18af"/>
    <ds:schemaRef ds:uri="fedfc06d-1025-4a9a-b35a-e0b6ce5bd9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Uso de estimador</vt:lpstr>
      <vt:lpstr>Atributos</vt:lpstr>
      <vt:lpstr>S0</vt:lpstr>
      <vt:lpstr>Evaluar</vt:lpstr>
      <vt:lpstr>GAP</vt:lpstr>
      <vt:lpstr>Estimar</vt:lpstr>
      <vt:lpstr>Tiempos</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Patricio Claros Santibañez</dc:creator>
  <cp:keywords/>
  <dc:description/>
  <cp:lastModifiedBy>Edwin Flores</cp:lastModifiedBy>
  <cp:revision/>
  <dcterms:created xsi:type="dcterms:W3CDTF">2023-01-09T18:57:07Z</dcterms:created>
  <dcterms:modified xsi:type="dcterms:W3CDTF">2025-02-17T21:39:00Z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0x0101005DCB4B33EB0C484CBFE59B1CF46AA889</vt:lpwstr>
  </property>
  <property fmtid="{D5CDD505-2E9C-101B-9397-08002B2CF9AE}" pid="3" name="MediaServiceImageTags">
    <vt:lpwstr/>
  </property>
</Properties>
</file>